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eozaller/Desktop/Work /Leo's Gameplan/AUROS AI/portfolio/"/>
    </mc:Choice>
  </mc:AlternateContent>
  <xr:revisionPtr revIDLastSave="0" documentId="13_ncr:1_{206665A1-9610-7741-9C56-0171D681EAD3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Pipeline" sheetId="1" r:id="rId1"/>
    <sheet name="Dashboard" sheetId="2" r:id="rId2"/>
    <sheet name="Call Script" sheetId="3" r:id="rId3"/>
    <sheet name="🔥 Top Leads" sheetId="4" r:id="rId4"/>
  </sheets>
  <definedNames>
    <definedName name="_xlnm._FilterDatabase" localSheetId="0" hidden="1">Pipeline!$A$1:$Q$51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<sst xmlns="http://schemas.openxmlformats.org/spreadsheetml/2006/main" count="597" uniqueCount="201">
  <si>
    <t>#</t>
  </si>
  <si>
    <t>Business Name</t>
  </si>
  <si>
    <t>Category</t>
  </si>
  <si>
    <t>City</t>
  </si>
  <si>
    <t>Phone</t>
  </si>
  <si>
    <t>Rating</t>
  </si>
  <si>
    <t>Reviews</t>
  </si>
  <si>
    <t>Google Maps</t>
  </si>
  <si>
    <t>Call Status</t>
  </si>
  <si>
    <t>Call Notes</t>
  </si>
  <si>
    <t>Interest (1-5)</t>
  </si>
  <si>
    <t>Follow Up Date</t>
  </si>
  <si>
    <t>Meeting Date</t>
  </si>
  <si>
    <t>Website Built?</t>
  </si>
  <si>
    <t>Deal Value ($)</t>
  </si>
  <si>
    <t>Deal Status</t>
  </si>
  <si>
    <t>Date Added</t>
  </si>
  <si>
    <t>The Chaum</t>
  </si>
  <si>
    <t>restaurant</t>
  </si>
  <si>
    <t>Martinez</t>
  </si>
  <si>
    <t>(706) 305-9444</t>
  </si>
  <si>
    <t>📍 Open Map</t>
  </si>
  <si>
    <t>Not Called</t>
  </si>
  <si>
    <t>No</t>
  </si>
  <si>
    <t>2026-03-23</t>
  </si>
  <si>
    <t>Austin's Firegrill &amp; Oyster Bar</t>
  </si>
  <si>
    <t>Albany</t>
  </si>
  <si>
    <t>(229) 883-4482</t>
  </si>
  <si>
    <t>Lemon Pepper Fish and Chicken Albany</t>
  </si>
  <si>
    <t>(229) 573-7121</t>
  </si>
  <si>
    <t>Garden Grille &amp; Bar</t>
  </si>
  <si>
    <t>Warner Robins</t>
  </si>
  <si>
    <t>(478) 971-1550</t>
  </si>
  <si>
    <t>Greek Village Restaurant</t>
  </si>
  <si>
    <t>(478) 918-0093</t>
  </si>
  <si>
    <t>Farmhouse Restaurant</t>
  </si>
  <si>
    <t>Lake Park</t>
  </si>
  <si>
    <t>(229) 559-5445</t>
  </si>
  <si>
    <t>Ms B's Kitchen Atlanta</t>
  </si>
  <si>
    <t>Smyrna</t>
  </si>
  <si>
    <t>(678) 653-8329</t>
  </si>
  <si>
    <t>Teranga City Brookhaven</t>
  </si>
  <si>
    <t>Atlanta</t>
  </si>
  <si>
    <t>(470) 704-7516</t>
  </si>
  <si>
    <t>Let's Talk Brunch</t>
  </si>
  <si>
    <t>Newnan</t>
  </si>
  <si>
    <t>(470) 414-1506</t>
  </si>
  <si>
    <t>Table 43</t>
  </si>
  <si>
    <t>Dalton</t>
  </si>
  <si>
    <t>(706) 529-2243</t>
  </si>
  <si>
    <t>El Salvador Restaurant</t>
  </si>
  <si>
    <t>Gainesville</t>
  </si>
  <si>
    <t>(470) 290-5151</t>
  </si>
  <si>
    <t>El Mezcal II</t>
  </si>
  <si>
    <t>Hinesville</t>
  </si>
  <si>
    <t>(912) 255-5910</t>
  </si>
  <si>
    <t>BLESS 4 LESS BBQ AND SEAFOOD - Hinesville Ga.</t>
  </si>
  <si>
    <t>(912) 655-6072</t>
  </si>
  <si>
    <t>Aura Cocktails &amp; Tapas</t>
  </si>
  <si>
    <t>Statesboro</t>
  </si>
  <si>
    <t>(912) 732-8776</t>
  </si>
  <si>
    <t>The Taj Authentic Indian Cuisine</t>
  </si>
  <si>
    <t>(912) 259-9987</t>
  </si>
  <si>
    <t>Undertone Salon &amp; Co.</t>
  </si>
  <si>
    <t>hair salon</t>
  </si>
  <si>
    <t>Augusta</t>
  </si>
  <si>
    <t>(762) 333-8298</t>
  </si>
  <si>
    <t>Changes Hair Salon &amp; Day Spa</t>
  </si>
  <si>
    <t>Macon</t>
  </si>
  <si>
    <t>(478) 475-1300</t>
  </si>
  <si>
    <t>Imperial Hair Salon</t>
  </si>
  <si>
    <t>(478) 722-4928</t>
  </si>
  <si>
    <t>Font Salon</t>
  </si>
  <si>
    <t>(478) 284-7735</t>
  </si>
  <si>
    <t>JW Salon</t>
  </si>
  <si>
    <t>Savannah</t>
  </si>
  <si>
    <t>(912) 650-1577</t>
  </si>
  <si>
    <t>Euro Salon</t>
  </si>
  <si>
    <t>Sandy Springs</t>
  </si>
  <si>
    <t>(770) 518-4247</t>
  </si>
  <si>
    <t>Hair Works</t>
  </si>
  <si>
    <t>(229) 883-0302</t>
  </si>
  <si>
    <t>Bella's Hair Salon</t>
  </si>
  <si>
    <t>(229) 854-6816</t>
  </si>
  <si>
    <t>TONY BLACK BARBER/SALON</t>
  </si>
  <si>
    <t>(229) 903-8006</t>
  </si>
  <si>
    <t>Hair With Flair</t>
  </si>
  <si>
    <t>(229) 888-0978</t>
  </si>
  <si>
    <t>Elegance Supercuts/Dominican salon</t>
  </si>
  <si>
    <t>(229) 438-2332</t>
  </si>
  <si>
    <t>Hair &amp; Company</t>
  </si>
  <si>
    <t>(478) 929-8722</t>
  </si>
  <si>
    <t>ANGEL'S HAIR SALON</t>
  </si>
  <si>
    <t>(561) 309-6486</t>
  </si>
  <si>
    <t>Lucy Hair Salon</t>
  </si>
  <si>
    <t>Marietta</t>
  </si>
  <si>
    <t>(678) 560-2380</t>
  </si>
  <si>
    <t>Dunwoody Hair Studio</t>
  </si>
  <si>
    <t>Dunwoody</t>
  </si>
  <si>
    <t>(770) 396-2003</t>
  </si>
  <si>
    <t>A Shane Buffkin Salon Co</t>
  </si>
  <si>
    <t>Peachtree City</t>
  </si>
  <si>
    <t>(770) 631-6031</t>
  </si>
  <si>
    <t>Salon Seventy Seven</t>
  </si>
  <si>
    <t>(770) 683-6977</t>
  </si>
  <si>
    <t>Salon 77</t>
  </si>
  <si>
    <t>All Dolled Up - Hair &amp; Lash Salon</t>
  </si>
  <si>
    <t>(706) 671-7455</t>
  </si>
  <si>
    <t>Studio 206 Hair Salon</t>
  </si>
  <si>
    <t>(706) 272-7922</t>
  </si>
  <si>
    <t>Twisted Sisters Salon ….</t>
  </si>
  <si>
    <t>(706) 370-7713</t>
  </si>
  <si>
    <t>Gainesville Hair Co - Formerly Hair Unique</t>
  </si>
  <si>
    <t>(770) 532-6091</t>
  </si>
  <si>
    <t>Gainesville Hair Salon</t>
  </si>
  <si>
    <t>(770) 535-0012</t>
  </si>
  <si>
    <t>Studio H Salon</t>
  </si>
  <si>
    <t>(912) 610-2963</t>
  </si>
  <si>
    <t>Cut Loose Hair Salon</t>
  </si>
  <si>
    <t>(912) 369-3993</t>
  </si>
  <si>
    <t>Hidden Gem Salon</t>
  </si>
  <si>
    <t>(912) 623-2050</t>
  </si>
  <si>
    <t>Five Star Hair Salon</t>
  </si>
  <si>
    <t>Lawrenceville</t>
  </si>
  <si>
    <t>(678) 580-3196</t>
  </si>
  <si>
    <t>Salon Lihga</t>
  </si>
  <si>
    <t>Duluth</t>
  </si>
  <si>
    <t>(678) 833-7005</t>
  </si>
  <si>
    <t>SM HAIR STUDIO SALON</t>
  </si>
  <si>
    <t>(770) 549-9047</t>
  </si>
  <si>
    <t>Olive and Bloom Hair Studio</t>
  </si>
  <si>
    <t>Kennesaw</t>
  </si>
  <si>
    <t>(678) 742-7571</t>
  </si>
  <si>
    <t>A Touch of Beauty Salon &amp; Spa</t>
  </si>
  <si>
    <t>Canton</t>
  </si>
  <si>
    <t>(770) 720-7068</t>
  </si>
  <si>
    <t>Genesis I Hair Styles Inc</t>
  </si>
  <si>
    <t>Carrollton</t>
  </si>
  <si>
    <t>(770) 834-4337</t>
  </si>
  <si>
    <t>Fade Factory ATL</t>
  </si>
  <si>
    <t>barber shop</t>
  </si>
  <si>
    <t>(470) 813-3745</t>
  </si>
  <si>
    <t>V's Barbershop Augusta</t>
  </si>
  <si>
    <t>(706) 305-9696</t>
  </si>
  <si>
    <t>The Redzone Barbershop</t>
  </si>
  <si>
    <t>(706) 426-6302</t>
  </si>
  <si>
    <t>AUROS AI — Sales Pipeline Dashboard</t>
  </si>
  <si>
    <t>Georgia Lead Pipeline | Generated March 23, 2026</t>
  </si>
  <si>
    <t>Total Leads</t>
  </si>
  <si>
    <t>Interested</t>
  </si>
  <si>
    <t>Meetings</t>
  </si>
  <si>
    <t>SOLD</t>
  </si>
  <si>
    <t>Revenue</t>
  </si>
  <si>
    <t>Follow Up</t>
  </si>
  <si>
    <t>No Answer</t>
  </si>
  <si>
    <t>Voicemail</t>
  </si>
  <si>
    <t>Not Interested</t>
  </si>
  <si>
    <t>Meeting Booked</t>
  </si>
  <si>
    <t>30-SECOND COLD CALL SCRIPT</t>
  </si>
  <si>
    <t>━━━ WHEN THEY PICK UP ━━━</t>
  </si>
  <si>
    <t>"Hi, is this [OWNER NAME / the owner]?"</t>
  </si>
  <si>
    <t>"Hey [NAME], my name is Leo — I run a small web design company.</t>
  </si>
  <si>
    <t>I was looking at businesses in [CITY] on Google and noticed</t>
  </si>
  <si>
    <t>you guys have incredible reviews — [RATING] stars, [REVIEWS] reviews —</t>
  </si>
  <si>
    <t>but no website. Have you ever thought about getting one?"</t>
  </si>
  <si>
    <t>━━━ IF INTERESTED ━━━</t>
  </si>
  <si>
    <t>"I specialize in building sites for local businesses like yours.</t>
  </si>
  <si>
    <t>What I'd love to do is set up a quick 15-minute call where I can</t>
  </si>
  <si>
    <t>show you what a site for [BUSINESS] could look like.</t>
  </si>
  <si>
    <t>I'll put something together for free — you see it before you</t>
  </si>
  <si>
    <t>commit to anything. What day works for you?"</t>
  </si>
  <si>
    <t>━━━ IF NOT INTERESTED ━━━</t>
  </si>
  <si>
    <t>"No worries at all! Your reviews are really strong and a site</t>
  </si>
  <si>
    <t>would help more people find you. If you change your mind,</t>
  </si>
  <si>
    <t>I'm Leo at AUROS. Have a great day!"</t>
  </si>
  <si>
    <t>━━━ VOICEMAIL ━━━</t>
  </si>
  <si>
    <t>"Hey [NAME], this is Leo. I noticed [BUSINESS] has incredible</t>
  </si>
  <si>
    <t>Google reviews but no website. Would love to chat about</t>
  </si>
  <si>
    <t>putting one together. My number is [YOUR NUMBER]. Thanks!"</t>
  </si>
  <si>
    <t>━━━ OBJECTION HANDLERS ━━━</t>
  </si>
  <si>
    <t>"We get all our business from word of mouth"</t>
  </si>
  <si>
    <t>→ "Imagine how much MORE you'd get if people could find you online.</t>
  </si>
  <si>
    <t xml:space="preserve">   97% of people Google a business before visiting."</t>
  </si>
  <si>
    <t>"We can't afford a website"</t>
  </si>
  <si>
    <t>→ "I'm offering to build the first version for free —</t>
  </si>
  <si>
    <t xml:space="preserve">   no cost, no commitment. If you love it, we talk."</t>
  </si>
  <si>
    <t>"We're too busy right now"</t>
  </si>
  <si>
    <t>→ "Perfect — a website works 24/7 while you focus on your craft.</t>
  </si>
  <si>
    <t xml:space="preserve">   Zero effort on your end. Can I just send a quick preview?"</t>
  </si>
  <si>
    <t>━━━ STATS TO DROP ━━━</t>
  </si>
  <si>
    <t>• 97% of consumers search online before visiting a local business</t>
  </si>
  <si>
    <t>• 75% judge credibility based on the website</t>
  </si>
  <si>
    <t>• Businesses with websites get 2.5x more customers</t>
  </si>
  <si>
    <t>• Google ranks businesses WITH websites higher in local search</t>
  </si>
  <si>
    <t>TOP LEADS — Highest Potential</t>
  </si>
  <si>
    <t>Score</t>
  </si>
  <si>
    <t>Called - Not Interested</t>
  </si>
  <si>
    <t>Manager not there comes in afternoon 4 PM</t>
  </si>
  <si>
    <t>Follow Up Later</t>
  </si>
  <si>
    <t>Called - No Answer</t>
  </si>
  <si>
    <t>Manager not present need to call 9:30-4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</si>
</sst>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1B5E20"/>
      <name val="Calibri"/>
      <family val="2"/>
    </font>
    <font>
      <u/>
      <sz val="11"/>
      <color rgb="FF0066CC"/>
      <name val="Calibri"/>
      <family val="2"/>
    </font>
    <font>
      <sz val="11"/>
      <color rgb="FF1B5E20"/>
      <name val="Calibri"/>
      <family val="2"/>
    </font>
    <font>
      <b/>
      <sz val="22"/>
      <color rgb="FF1A1A2E"/>
      <name val="Calibri"/>
      <family val="2"/>
    </font>
    <font>
      <sz val="12"/>
      <color rgb="FF888888"/>
      <name val="Calibri"/>
      <family val="2"/>
    </font>
    <font>
      <sz val="9"/>
      <color rgb="FFFFFFFF"/>
      <name val="Calibri"/>
      <family val="2"/>
    </font>
    <font>
      <b/>
      <sz val="20"/>
      <color rgb="FFFFFFFF"/>
      <name val="Calibri"/>
      <family val="2"/>
    </font>
    <font>
      <sz val="9"/>
      <color rgb="FF1A1A2E"/>
      <name val="Calibri"/>
      <family val="2"/>
    </font>
    <font>
      <b/>
      <sz val="20"/>
      <color rgb="FF1A1A2E"/>
      <name val="Calibri"/>
      <family val="2"/>
    </font>
    <font>
      <b/>
      <sz val="18"/>
      <color rgb="FF1A1A2E"/>
      <name val="Calibri"/>
      <family val="2"/>
    </font>
    <font>
      <b/>
      <sz val="13"/>
      <color rgb="FFC08B5C"/>
      <name val="Calibri"/>
      <family val="2"/>
    </font>
    <font>
      <i/>
      <sz val="11"/>
      <color rgb="FF333333"/>
      <name val="Calibri"/>
      <family val="2"/>
    </font>
    <font>
      <b/>
      <sz val="11"/>
      <color rgb="FFB71C1C"/>
      <name val="Calibri"/>
      <family val="2"/>
    </font>
    <font>
      <sz val="11"/>
      <color rgb="FF1B5E20"/>
      <name val="Calibri"/>
      <family val="2"/>
    </font>
    <font>
      <b/>
      <sz val="11"/>
      <color rgb="FF1A1A2E"/>
      <name val="Calibri"/>
      <family val="2"/>
    </font>
    <font>
      <b/>
      <sz val="16"/>
      <color rgb="FF1A1A2E"/>
      <name val="Calibri"/>
      <family val="2"/>
    </font>
    <font>
      <b/>
      <sz val="11"/>
      <color rgb="FFFFFFFF"/>
      <name val="Calibri"/>
      <family val="2"/>
    </font>
    <font>
      <b/>
      <sz val="12"/>
      <color rgb="FFD32F2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E0E0E0"/>
        <bgColor rgb="FFE0E0E0"/>
      </patternFill>
    </fill>
    <fill>
      <patternFill patternType="solid">
        <fgColor rgb="FF4CAF50"/>
        <bgColor rgb="FF4CAF50"/>
      </patternFill>
    </fill>
    <fill>
      <patternFill patternType="solid">
        <fgColor rgb="FF2196F3"/>
        <bgColor rgb="FF2196F3"/>
      </patternFill>
    </fill>
    <fill>
      <patternFill patternType="solid">
        <fgColor rgb="FF2E7D32"/>
        <bgColor rgb="FF2E7D32"/>
      </patternFill>
    </fill>
    <fill>
      <patternFill patternType="solid">
        <fgColor rgb="FFC08B5C"/>
        <bgColor rgb="FFC08B5C"/>
      </patternFill>
    </fill>
    <fill>
      <patternFill patternType="solid">
        <fgColor rgb="FFFFF8E1"/>
        <bgColor rgb="FFFFF8E1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D32F2F"/>
        <bgColor rgb="FFD32F2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9" borderId="0" xfId="0" applyFont="1" applyFill="1"/>
    <xf numFmtId="0" fontId="14" fillId="0" borderId="0" xfId="0" applyFont="1"/>
    <xf numFmtId="0" fontId="15" fillId="10" borderId="0" xfId="0" applyFont="1" applyFill="1"/>
    <xf numFmtId="0" fontId="16" fillId="11" borderId="0" xfId="0" applyFont="1" applyFill="1"/>
    <xf numFmtId="0" fontId="17" fillId="0" borderId="0" xfId="0" applyFont="1"/>
    <xf numFmtId="0" fontId="18" fillId="0" borderId="0" xfId="0" applyFont="1"/>
    <xf numFmtId="0" fontId="19" fillId="12" borderId="0" xfId="0" applyFont="1" applyFill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7" fillId="0" borderId="0" xfId="0" applyFont="1"/>
    <xf numFmtId="0" fontId="0" fillId="0" borderId="0" xfId="0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12">
    <dxf>
      <font>
        <color rgb="FFB71C1C"/>
      </font>
      <fill>
        <patternFill patternType="solid">
          <fgColor rgb="FFFFEBEE"/>
          <bgColor rgb="FFFFEBEE"/>
        </patternFill>
      </fill>
    </dxf>
    <dxf>
      <font>
        <b/>
        <sz val="12"/>
        <color rgb="FF1B5E20"/>
      </font>
      <fill>
        <patternFill patternType="solid">
          <fgColor rgb="FFA5D6A7"/>
          <bgColor rgb="FFA5D6A7"/>
        </patternFill>
      </fill>
    </dxf>
    <dxf>
      <font>
        <color rgb="FFB71C1C"/>
      </font>
      <fill>
        <patternFill patternType="solid">
          <fgColor rgb="FFFFEBEE"/>
          <bgColor rgb="FFFFEBEE"/>
        </patternFill>
      </fill>
    </dxf>
    <dxf>
      <font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1B5E20"/>
      </font>
      <fill>
        <patternFill patternType="solid">
          <fgColor rgb="FFA5D6A7"/>
          <bgColor rgb="FFA5D6A7"/>
        </patternFill>
      </fill>
    </dxf>
    <dxf>
      <font>
        <color rgb="FF4A148C"/>
      </font>
      <fill>
        <patternFill patternType="solid">
          <fgColor rgb="FFF3E5F5"/>
          <bgColor rgb="FFF3E5F5"/>
        </patternFill>
      </fill>
    </dxf>
    <dxf>
      <font>
        <b/>
        <color rgb="FF0D47A1"/>
      </font>
      <fill>
        <patternFill patternType="solid">
          <fgColor rgb="FFE3F2FD"/>
          <bgColor rgb="FFE3F2FD"/>
        </patternFill>
      </fill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color rgb="FFB71C1C"/>
      </font>
      <fill>
        <patternFill patternType="solid">
          <fgColor rgb="FFFFEBEE"/>
          <bgColor rgb="FFFFEBEE"/>
        </patternFill>
      </fill>
    </dxf>
    <dxf>
      <font>
        <color rgb="FFE65100"/>
      </font>
      <fill>
        <patternFill patternType="solid">
          <fgColor rgb="FFFFF3E0"/>
          <bgColor rgb="FFFFF3E0"/>
        </patternFill>
      </fill>
    </dxf>
    <dxf>
      <font>
        <color rgb="FFF57F17"/>
      </font>
      <fill>
        <patternFill patternType="solid">
          <fgColor rgb="FFFFF8E1"/>
          <bgColor rgb="FFFFF8E1"/>
        </patternFill>
      </fill>
    </dxf>
    <dxf>
      <fill>
        <patternFill patternType="solid">
          <fgColor rgb="FFE0E0E0"/>
          <bgColor rgb="FFE0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Call Status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DBD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78-214B-856C-4BFB3A44FAB7}"/>
              </c:ext>
            </c:extLst>
          </c:dPt>
          <c:dPt>
            <c:idx val="1"/>
            <c:bubble3D val="0"/>
            <c:spPr>
              <a:solidFill>
                <a:srgbClr val="FFC10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78-214B-856C-4BFB3A44FAB7}"/>
              </c:ext>
            </c:extLst>
          </c:dPt>
          <c:dPt>
            <c:idx val="2"/>
            <c:bubble3D val="0"/>
            <c:spPr>
              <a:solidFill>
                <a:srgbClr val="FF98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78-214B-856C-4BFB3A44FAB7}"/>
              </c:ext>
            </c:extLst>
          </c:dPt>
          <c:dPt>
            <c:idx val="3"/>
            <c:bubble3D val="0"/>
            <c:spPr>
              <a:solidFill>
                <a:srgbClr val="F4433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78-214B-856C-4BFB3A44FAB7}"/>
              </c:ext>
            </c:extLst>
          </c:dPt>
          <c:dPt>
            <c:idx val="4"/>
            <c:bubble3D val="0"/>
            <c:spPr>
              <a:solidFill>
                <a:srgbClr val="4CAF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78-214B-856C-4BFB3A44FAB7}"/>
              </c:ext>
            </c:extLst>
          </c:dPt>
          <c:dPt>
            <c:idx val="5"/>
            <c:bubble3D val="0"/>
            <c:spPr>
              <a:solidFill>
                <a:srgbClr val="2196F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778-214B-856C-4BFB3A44FAB7}"/>
              </c:ext>
            </c:extLst>
          </c:dPt>
          <c:dPt>
            <c:idx val="6"/>
            <c:bubble3D val="0"/>
            <c:spPr>
              <a:solidFill>
                <a:srgbClr val="9C27B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778-214B-856C-4BFB3A44FAB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Dashboard!$A$8:$A$14</c:f>
              <c:strCache>
                <c:ptCount val="7"/>
                <c:pt idx="0">
                  <c:v>Follow Up</c:v>
                </c:pt>
                <c:pt idx="1">
                  <c:v>No Answer</c:v>
                </c:pt>
                <c:pt idx="2">
                  <c:v>Voicemail</c:v>
                </c:pt>
                <c:pt idx="3">
                  <c:v>Not Interested</c:v>
                </c:pt>
                <c:pt idx="4">
                  <c:v>Interested</c:v>
                </c:pt>
                <c:pt idx="5">
                  <c:v>Meeting Booked</c:v>
                </c:pt>
                <c:pt idx="6">
                  <c:v>Follow Up</c:v>
                </c:pt>
              </c:strCache>
            </c:strRef>
          </c:cat>
          <c:val>
            <c:numRef>
              <c:f>Dashboard!$B$8:$B$14</c:f>
              <c:numCache>
                <c:formatCode>General</c:formatCode>
                <c:ptCount val="7"/>
                <c:pt idx="0">
                  <c:v>45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78-214B-856C-4BFB3A44FAB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Leads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08B5C"/>
            </a:solidFill>
            <a:ln>
              <a:prstDash val="solid"/>
            </a:ln>
          </c:spPr>
          <c:invertIfNegative val="1"/>
          <c:cat>
            <c:strRef>
              <c:f>Dashboard!$D$8:$D$22</c:f>
              <c:strCache>
                <c:ptCount val="15"/>
                <c:pt idx="0">
                  <c:v>Albany</c:v>
                </c:pt>
                <c:pt idx="1">
                  <c:v>Warner Robins</c:v>
                </c:pt>
                <c:pt idx="2">
                  <c:v>Dalton</c:v>
                </c:pt>
                <c:pt idx="3">
                  <c:v>Hinesville</c:v>
                </c:pt>
                <c:pt idx="4">
                  <c:v>Newnan</c:v>
                </c:pt>
                <c:pt idx="5">
                  <c:v>Gainesville</c:v>
                </c:pt>
                <c:pt idx="6">
                  <c:v>Statesboro</c:v>
                </c:pt>
                <c:pt idx="7">
                  <c:v>Augusta</c:v>
                </c:pt>
                <c:pt idx="8">
                  <c:v>Macon</c:v>
                </c:pt>
                <c:pt idx="9">
                  <c:v>Atlanta</c:v>
                </c:pt>
                <c:pt idx="10">
                  <c:v>Duluth</c:v>
                </c:pt>
                <c:pt idx="11">
                  <c:v>Martinez</c:v>
                </c:pt>
                <c:pt idx="12">
                  <c:v>Lake Park</c:v>
                </c:pt>
                <c:pt idx="13">
                  <c:v>Smyrna</c:v>
                </c:pt>
                <c:pt idx="14">
                  <c:v>Savannah</c:v>
                </c:pt>
              </c:strCache>
            </c:strRef>
          </c:cat>
          <c:val>
            <c:numRef>
              <c:f>Dashboard!$E$8:$E$22</c:f>
              <c:numCache>
                <c:formatCode>General</c:formatCode>
                <c:ptCount val="15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95-0D4D-AB10-BF3C2353A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Leads by Business Type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196F3"/>
            </a:solidFill>
            <a:ln>
              <a:prstDash val="solid"/>
            </a:ln>
          </c:spPr>
          <c:invertIfNegative val="1"/>
          <c:cat>
            <c:strRef>
              <c:f>Dashboard!$G$8:$G$10</c:f>
              <c:strCache>
                <c:ptCount val="3"/>
                <c:pt idx="0">
                  <c:v>hair salon</c:v>
                </c:pt>
                <c:pt idx="1">
                  <c:v>restaurant</c:v>
                </c:pt>
                <c:pt idx="2">
                  <c:v>barber shop</c:v>
                </c:pt>
              </c:strCache>
            </c:strRef>
          </c:cat>
          <c:val>
            <c:numRef>
              <c:f>Dashboard!$H$8:$H$10</c:f>
              <c:numCache>
                <c:formatCode>General</c:formatCode>
                <c:ptCount val="3"/>
                <c:pt idx="0">
                  <c:v>32</c:v>
                </c:pt>
                <c:pt idx="1">
                  <c:v>15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8A-2C48-AE41-8412E5327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16</xdr:row>
      <xdr:rowOff>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google.com/?cid=408787406593769993" TargetMode="External"/><Relationship Id="rId18" Type="http://schemas.openxmlformats.org/officeDocument/2006/relationships/hyperlink" Target="https://maps.google.com/?cid=12730193339907155130" TargetMode="External"/><Relationship Id="rId26" Type="http://schemas.openxmlformats.org/officeDocument/2006/relationships/hyperlink" Target="https://maps.google.com/?cid=16452344447462526286" TargetMode="External"/><Relationship Id="rId39" Type="http://schemas.openxmlformats.org/officeDocument/2006/relationships/hyperlink" Target="https://maps.google.com/?cid=13042776340731878704" TargetMode="External"/><Relationship Id="rId21" Type="http://schemas.openxmlformats.org/officeDocument/2006/relationships/hyperlink" Target="https://maps.google.com/?cid=4667496848049286166" TargetMode="External"/><Relationship Id="rId34" Type="http://schemas.openxmlformats.org/officeDocument/2006/relationships/hyperlink" Target="https://maps.google.com/?cid=13392016749074335348" TargetMode="External"/><Relationship Id="rId42" Type="http://schemas.openxmlformats.org/officeDocument/2006/relationships/hyperlink" Target="https://maps.google.com/?cid=699815715826767856" TargetMode="External"/><Relationship Id="rId47" Type="http://schemas.openxmlformats.org/officeDocument/2006/relationships/hyperlink" Target="https://maps.google.com/?cid=11516006875707277890" TargetMode="External"/><Relationship Id="rId50" Type="http://schemas.openxmlformats.org/officeDocument/2006/relationships/hyperlink" Target="https://maps.google.com/?cid=1260606180132419298" TargetMode="External"/><Relationship Id="rId7" Type="http://schemas.openxmlformats.org/officeDocument/2006/relationships/hyperlink" Target="https://maps.google.com/?cid=12546514130819690732" TargetMode="External"/><Relationship Id="rId2" Type="http://schemas.openxmlformats.org/officeDocument/2006/relationships/hyperlink" Target="https://maps.google.com/?cid=18255150204903996662" TargetMode="External"/><Relationship Id="rId16" Type="http://schemas.openxmlformats.org/officeDocument/2006/relationships/hyperlink" Target="https://maps.google.com/?cid=8650875853879663417" TargetMode="External"/><Relationship Id="rId29" Type="http://schemas.openxmlformats.org/officeDocument/2006/relationships/hyperlink" Target="https://maps.google.com/?cid=15356798967128713092" TargetMode="External"/><Relationship Id="rId11" Type="http://schemas.openxmlformats.org/officeDocument/2006/relationships/hyperlink" Target="https://maps.google.com/?cid=15512235836863267014" TargetMode="External"/><Relationship Id="rId24" Type="http://schemas.openxmlformats.org/officeDocument/2006/relationships/hyperlink" Target="https://maps.google.com/?cid=8472991747671108700" TargetMode="External"/><Relationship Id="rId32" Type="http://schemas.openxmlformats.org/officeDocument/2006/relationships/hyperlink" Target="https://maps.google.com/?cid=10432849646022509369" TargetMode="External"/><Relationship Id="rId37" Type="http://schemas.openxmlformats.org/officeDocument/2006/relationships/hyperlink" Target="https://maps.google.com/?cid=18184166734689316912" TargetMode="External"/><Relationship Id="rId40" Type="http://schemas.openxmlformats.org/officeDocument/2006/relationships/hyperlink" Target="https://maps.google.com/?cid=3580535299529857228" TargetMode="External"/><Relationship Id="rId45" Type="http://schemas.openxmlformats.org/officeDocument/2006/relationships/hyperlink" Target="https://maps.google.com/?cid=11918687522697125601" TargetMode="External"/><Relationship Id="rId5" Type="http://schemas.openxmlformats.org/officeDocument/2006/relationships/hyperlink" Target="https://maps.google.com/?cid=501221710008362802" TargetMode="External"/><Relationship Id="rId15" Type="http://schemas.openxmlformats.org/officeDocument/2006/relationships/hyperlink" Target="https://maps.google.com/?cid=7865895307419545215" TargetMode="External"/><Relationship Id="rId23" Type="http://schemas.openxmlformats.org/officeDocument/2006/relationships/hyperlink" Target="https://maps.google.com/?cid=3824716221423525317" TargetMode="External"/><Relationship Id="rId28" Type="http://schemas.openxmlformats.org/officeDocument/2006/relationships/hyperlink" Target="https://maps.google.com/?cid=15979514796243271751" TargetMode="External"/><Relationship Id="rId36" Type="http://schemas.openxmlformats.org/officeDocument/2006/relationships/hyperlink" Target="https://maps.google.com/?cid=217371576908512139" TargetMode="External"/><Relationship Id="rId49" Type="http://schemas.openxmlformats.org/officeDocument/2006/relationships/hyperlink" Target="https://maps.google.com/?cid=7674634268636372325" TargetMode="External"/><Relationship Id="rId10" Type="http://schemas.openxmlformats.org/officeDocument/2006/relationships/hyperlink" Target="https://maps.google.com/?cid=13787439262723408659" TargetMode="External"/><Relationship Id="rId19" Type="http://schemas.openxmlformats.org/officeDocument/2006/relationships/hyperlink" Target="https://maps.google.com/?cid=7611132417767640614" TargetMode="External"/><Relationship Id="rId31" Type="http://schemas.openxmlformats.org/officeDocument/2006/relationships/hyperlink" Target="https://maps.google.com/?cid=5484257706775038806" TargetMode="External"/><Relationship Id="rId44" Type="http://schemas.openxmlformats.org/officeDocument/2006/relationships/hyperlink" Target="https://maps.google.com/?cid=2559400283163257492" TargetMode="External"/><Relationship Id="rId4" Type="http://schemas.openxmlformats.org/officeDocument/2006/relationships/hyperlink" Target="https://maps.google.com/?cid=9035754954283693255" TargetMode="External"/><Relationship Id="rId9" Type="http://schemas.openxmlformats.org/officeDocument/2006/relationships/hyperlink" Target="https://maps.google.com/?cid=4569221578661478108" TargetMode="External"/><Relationship Id="rId14" Type="http://schemas.openxmlformats.org/officeDocument/2006/relationships/hyperlink" Target="https://maps.google.com/?cid=4701317990341228615" TargetMode="External"/><Relationship Id="rId22" Type="http://schemas.openxmlformats.org/officeDocument/2006/relationships/hyperlink" Target="https://maps.google.com/?cid=2286881845433385910" TargetMode="External"/><Relationship Id="rId27" Type="http://schemas.openxmlformats.org/officeDocument/2006/relationships/hyperlink" Target="https://maps.google.com/?cid=10832160513421739187" TargetMode="External"/><Relationship Id="rId30" Type="http://schemas.openxmlformats.org/officeDocument/2006/relationships/hyperlink" Target="https://maps.google.com/?cid=4843968547355198593" TargetMode="External"/><Relationship Id="rId35" Type="http://schemas.openxmlformats.org/officeDocument/2006/relationships/hyperlink" Target="https://maps.google.com/?cid=8298222848047164196" TargetMode="External"/><Relationship Id="rId43" Type="http://schemas.openxmlformats.org/officeDocument/2006/relationships/hyperlink" Target="https://maps.google.com/?cid=11580104872857463513" TargetMode="External"/><Relationship Id="rId48" Type="http://schemas.openxmlformats.org/officeDocument/2006/relationships/hyperlink" Target="https://maps.google.com/?cid=10468248693954556791" TargetMode="External"/><Relationship Id="rId8" Type="http://schemas.openxmlformats.org/officeDocument/2006/relationships/hyperlink" Target="https://maps.google.com/?cid=5524590413025907400" TargetMode="External"/><Relationship Id="rId3" Type="http://schemas.openxmlformats.org/officeDocument/2006/relationships/hyperlink" Target="https://maps.google.com/?cid=4093405054730227870" TargetMode="External"/><Relationship Id="rId12" Type="http://schemas.openxmlformats.org/officeDocument/2006/relationships/hyperlink" Target="https://maps.google.com/?cid=17848873865289090103" TargetMode="External"/><Relationship Id="rId17" Type="http://schemas.openxmlformats.org/officeDocument/2006/relationships/hyperlink" Target="https://maps.google.com/?cid=15082461631721884585" TargetMode="External"/><Relationship Id="rId25" Type="http://schemas.openxmlformats.org/officeDocument/2006/relationships/hyperlink" Target="https://maps.google.com/?cid=4596309367386138152" TargetMode="External"/><Relationship Id="rId33" Type="http://schemas.openxmlformats.org/officeDocument/2006/relationships/hyperlink" Target="https://maps.google.com/?cid=14866627739254994234" TargetMode="External"/><Relationship Id="rId38" Type="http://schemas.openxmlformats.org/officeDocument/2006/relationships/hyperlink" Target="https://maps.google.com/?cid=1187978690052951745" TargetMode="External"/><Relationship Id="rId46" Type="http://schemas.openxmlformats.org/officeDocument/2006/relationships/hyperlink" Target="https://maps.google.com/?cid=617889438399494087" TargetMode="External"/><Relationship Id="rId20" Type="http://schemas.openxmlformats.org/officeDocument/2006/relationships/hyperlink" Target="https://maps.google.com/?cid=18106369518307407455" TargetMode="External"/><Relationship Id="rId41" Type="http://schemas.openxmlformats.org/officeDocument/2006/relationships/hyperlink" Target="https://maps.google.com/?cid=1713984338525785641" TargetMode="External"/><Relationship Id="rId1" Type="http://schemas.openxmlformats.org/officeDocument/2006/relationships/hyperlink" Target="https://maps.google.com/?cid=13058075474712445624" TargetMode="External"/><Relationship Id="rId6" Type="http://schemas.openxmlformats.org/officeDocument/2006/relationships/hyperlink" Target="https://maps.google.com/?cid=48111016316554277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8B5C"/>
  </sheetPr>
  <dimension ref="A1:Q51"/>
  <sheetViews>
    <sheetView tabSelected="1" zoomScale="132" workbookViewId="0">
      <pane ySplit="1" topLeftCell="A9" activePane="bottomLeft" state="frozen"/>
      <selection pane="bottomLeft" activeCell="J6" sqref="J6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5" width="16" customWidth="1"/>
    <col min="6" max="6" width="8" customWidth="1"/>
    <col min="7" max="7" width="9" customWidth="1"/>
    <col min="8" max="8" width="14" customWidth="1"/>
    <col min="9" max="9" width="24" customWidth="1"/>
    <col min="10" max="10" width="30" customWidth="1"/>
    <col min="11" max="11" width="12" customWidth="1"/>
    <col min="12" max="15" width="14" customWidth="1"/>
    <col min="16" max="16" width="16" customWidth="1"/>
    <col min="17" max="17" width="12" customWidth="1"/>
  </cols>
  <sheetData>
    <row r="1" spans="1:1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x14ac:dyDescent="0.2">
      <c r="A2" s="2">
        <v>1</v>
      </c>
      <c r="B2" s="3" t="s">
        <v>17</v>
      </c>
      <c r="C2" s="2" t="s">
        <v>18</v>
      </c>
      <c r="D2" s="2" t="s">
        <v>19</v>
      </c>
      <c r="E2" s="2" t="s">
        <v>20</v>
      </c>
      <c r="F2" s="4">
        <v>4.9000000000000004</v>
      </c>
      <c r="G2" s="2">
        <v>94</v>
      </c>
      <c r="H2" s="5" t="s">
        <v>21</v>
      </c>
      <c r="I2" s="2" t="s">
        <v>196</v>
      </c>
      <c r="J2" s="6"/>
      <c r="K2" s="2"/>
      <c r="L2" s="2"/>
      <c r="M2" s="2"/>
      <c r="N2" s="2" t="s">
        <v>23</v>
      </c>
      <c r="O2" s="2"/>
      <c r="P2" s="2"/>
      <c r="Q2" s="2" t="s">
        <v>24</v>
      </c>
    </row>
    <row r="3" spans="1:17" x14ac:dyDescent="0.2">
      <c r="A3" s="7">
        <v>2</v>
      </c>
      <c r="B3" s="8" t="s">
        <v>25</v>
      </c>
      <c r="C3" s="7" t="s">
        <v>18</v>
      </c>
      <c r="D3" s="7" t="s">
        <v>26</v>
      </c>
      <c r="E3" s="7" t="s">
        <v>27</v>
      </c>
      <c r="F3" s="7">
        <v>4.0999999999999996</v>
      </c>
      <c r="G3" s="7">
        <v>1670</v>
      </c>
      <c r="H3" s="9" t="s">
        <v>21</v>
      </c>
      <c r="I3" s="7" t="s">
        <v>196</v>
      </c>
      <c r="J3" s="10"/>
      <c r="K3" s="7"/>
      <c r="L3" s="7"/>
      <c r="M3" s="7"/>
      <c r="N3" s="7" t="s">
        <v>23</v>
      </c>
      <c r="O3" s="7"/>
      <c r="P3" s="7"/>
      <c r="Q3" s="7" t="s">
        <v>24</v>
      </c>
    </row>
    <row r="4" spans="1:17" ht="32" x14ac:dyDescent="0.2">
      <c r="A4" s="2">
        <v>3</v>
      </c>
      <c r="B4" s="3" t="s">
        <v>28</v>
      </c>
      <c r="C4" s="2" t="s">
        <v>18</v>
      </c>
      <c r="D4" s="2" t="s">
        <v>26</v>
      </c>
      <c r="E4" s="2" t="s">
        <v>29</v>
      </c>
      <c r="F4" s="11">
        <v>4.5999999999999996</v>
      </c>
      <c r="G4" s="2">
        <v>367</v>
      </c>
      <c r="H4" s="5" t="s">
        <v>21</v>
      </c>
      <c r="I4" s="2" t="s">
        <v>198</v>
      </c>
      <c r="J4" s="6" t="s">
        <v>197</v>
      </c>
      <c r="K4" s="2"/>
      <c r="L4" s="2"/>
      <c r="M4" s="2"/>
      <c r="N4" s="2" t="s">
        <v>23</v>
      </c>
      <c r="O4" s="2"/>
      <c r="P4" s="2"/>
      <c r="Q4" s="2" t="s">
        <v>24</v>
      </c>
    </row>
    <row r="5" spans="1:17" ht="32" x14ac:dyDescent="0.2">
      <c r="A5" s="7">
        <v>4</v>
      </c>
      <c r="B5" s="8" t="s">
        <v>30</v>
      </c>
      <c r="C5" s="7" t="s">
        <v>18</v>
      </c>
      <c r="D5" s="7" t="s">
        <v>31</v>
      </c>
      <c r="E5" s="7" t="s">
        <v>32</v>
      </c>
      <c r="F5" s="12">
        <v>4.9000000000000004</v>
      </c>
      <c r="G5" s="7">
        <v>132</v>
      </c>
      <c r="H5" s="9" t="s">
        <v>21</v>
      </c>
      <c r="I5" s="7" t="s">
        <v>198</v>
      </c>
      <c r="J5" s="10" t="s">
        <v>200</v>
      </c>
      <c r="K5" s="7"/>
      <c r="L5" s="7"/>
      <c r="M5" s="7"/>
      <c r="N5" s="7" t="s">
        <v>23</v>
      </c>
      <c r="O5" s="7"/>
      <c r="P5" s="7"/>
      <c r="Q5" s="7" t="s">
        <v>24</v>
      </c>
    </row>
    <row r="6" spans="1:17" x14ac:dyDescent="0.2">
      <c r="A6" s="2">
        <v>5</v>
      </c>
      <c r="B6" s="3" t="s">
        <v>33</v>
      </c>
      <c r="C6" s="2" t="s">
        <v>18</v>
      </c>
      <c r="D6" s="2" t="s">
        <v>31</v>
      </c>
      <c r="E6" s="2" t="s">
        <v>34</v>
      </c>
      <c r="F6" s="11">
        <v>4.5</v>
      </c>
      <c r="G6" s="2">
        <v>1259</v>
      </c>
      <c r="H6" s="5" t="s">
        <v>21</v>
      </c>
      <c r="I6" s="2" t="s">
        <v>22</v>
      </c>
      <c r="J6" s="6"/>
      <c r="K6" s="2"/>
      <c r="L6" s="2"/>
      <c r="M6" s="2"/>
      <c r="N6" s="2" t="s">
        <v>23</v>
      </c>
      <c r="O6" s="2"/>
      <c r="P6" s="2"/>
      <c r="Q6" s="2" t="s">
        <v>24</v>
      </c>
    </row>
    <row r="7" spans="1:17" x14ac:dyDescent="0.2">
      <c r="A7" s="7">
        <v>6</v>
      </c>
      <c r="B7" s="8" t="s">
        <v>35</v>
      </c>
      <c r="C7" s="7" t="s">
        <v>18</v>
      </c>
      <c r="D7" s="7" t="s">
        <v>36</v>
      </c>
      <c r="E7" s="7" t="s">
        <v>37</v>
      </c>
      <c r="F7" s="13">
        <v>4.5</v>
      </c>
      <c r="G7" s="7">
        <v>2973</v>
      </c>
      <c r="H7" s="9" t="s">
        <v>21</v>
      </c>
      <c r="I7" s="7" t="s">
        <v>22</v>
      </c>
      <c r="J7" s="10"/>
      <c r="K7" s="7"/>
      <c r="L7" s="7"/>
      <c r="M7" s="7"/>
      <c r="N7" s="7" t="s">
        <v>23</v>
      </c>
      <c r="O7" s="7"/>
      <c r="P7" s="7"/>
      <c r="Q7" s="7" t="s">
        <v>24</v>
      </c>
    </row>
    <row r="8" spans="1:17" ht="16" x14ac:dyDescent="0.2">
      <c r="A8" s="2">
        <v>7</v>
      </c>
      <c r="B8" s="3" t="s">
        <v>38</v>
      </c>
      <c r="C8" s="2" t="s">
        <v>18</v>
      </c>
      <c r="D8" s="2" t="s">
        <v>39</v>
      </c>
      <c r="E8" s="2" t="s">
        <v>40</v>
      </c>
      <c r="F8" s="4">
        <v>4.8</v>
      </c>
      <c r="G8" s="2">
        <v>99</v>
      </c>
      <c r="H8" s="5" t="s">
        <v>21</v>
      </c>
      <c r="I8" s="2" t="s">
        <v>22</v>
      </c>
      <c r="J8" s="6"/>
      <c r="K8" s="2"/>
      <c r="L8" s="2"/>
      <c r="M8" s="2"/>
      <c r="N8" s="2" t="s">
        <v>23</v>
      </c>
      <c r="O8" s="2"/>
      <c r="P8" s="2"/>
      <c r="Q8" s="2" t="s">
        <v>24</v>
      </c>
    </row>
    <row r="9" spans="1:17" x14ac:dyDescent="0.2">
      <c r="A9" s="7">
        <v>8</v>
      </c>
      <c r="B9" s="8" t="s">
        <v>41</v>
      </c>
      <c r="C9" s="7" t="s">
        <v>18</v>
      </c>
      <c r="D9" s="7" t="s">
        <v>42</v>
      </c>
      <c r="E9" s="7" t="s">
        <v>43</v>
      </c>
      <c r="F9" s="7">
        <v>4</v>
      </c>
      <c r="G9" s="7">
        <v>681</v>
      </c>
      <c r="H9" s="9" t="s">
        <v>21</v>
      </c>
      <c r="I9" s="7" t="s">
        <v>22</v>
      </c>
      <c r="J9" s="10"/>
      <c r="K9" s="7"/>
      <c r="L9" s="7"/>
      <c r="M9" s="7"/>
      <c r="N9" s="7" t="s">
        <v>23</v>
      </c>
      <c r="O9" s="7"/>
      <c r="P9" s="7"/>
      <c r="Q9" s="7" t="s">
        <v>24</v>
      </c>
    </row>
    <row r="10" spans="1:17" x14ac:dyDescent="0.2">
      <c r="A10" s="2">
        <v>9</v>
      </c>
      <c r="B10" s="3" t="s">
        <v>44</v>
      </c>
      <c r="C10" s="2" t="s">
        <v>18</v>
      </c>
      <c r="D10" s="2" t="s">
        <v>45</v>
      </c>
      <c r="E10" s="2" t="s">
        <v>46</v>
      </c>
      <c r="F10" s="11">
        <v>4.7</v>
      </c>
      <c r="G10" s="2">
        <v>31</v>
      </c>
      <c r="H10" s="5" t="s">
        <v>21</v>
      </c>
      <c r="I10" s="2" t="s">
        <v>22</v>
      </c>
      <c r="J10" s="6"/>
      <c r="K10" s="2"/>
      <c r="L10" s="2"/>
      <c r="M10" s="2"/>
      <c r="N10" s="2" t="s">
        <v>23</v>
      </c>
      <c r="O10" s="2"/>
      <c r="P10" s="2"/>
      <c r="Q10" s="2" t="s">
        <v>24</v>
      </c>
    </row>
    <row r="11" spans="1:17" x14ac:dyDescent="0.2">
      <c r="A11" s="7">
        <v>10</v>
      </c>
      <c r="B11" s="8" t="s">
        <v>47</v>
      </c>
      <c r="C11" s="7" t="s">
        <v>18</v>
      </c>
      <c r="D11" s="7" t="s">
        <v>48</v>
      </c>
      <c r="E11" s="7" t="s">
        <v>49</v>
      </c>
      <c r="F11" s="13">
        <v>4.5999999999999996</v>
      </c>
      <c r="G11" s="7">
        <v>42</v>
      </c>
      <c r="H11" s="9" t="s">
        <v>21</v>
      </c>
      <c r="I11" s="7" t="s">
        <v>22</v>
      </c>
      <c r="J11" s="10"/>
      <c r="K11" s="7"/>
      <c r="L11" s="7"/>
      <c r="M11" s="7"/>
      <c r="N11" s="7" t="s">
        <v>23</v>
      </c>
      <c r="O11" s="7"/>
      <c r="P11" s="7"/>
      <c r="Q11" s="7" t="s">
        <v>24</v>
      </c>
    </row>
    <row r="12" spans="1:17" ht="16" x14ac:dyDescent="0.2">
      <c r="A12" s="2">
        <v>11</v>
      </c>
      <c r="B12" s="3" t="s">
        <v>50</v>
      </c>
      <c r="C12" s="2" t="s">
        <v>18</v>
      </c>
      <c r="D12" s="2" t="s">
        <v>51</v>
      </c>
      <c r="E12" s="2" t="s">
        <v>52</v>
      </c>
      <c r="F12" s="4">
        <v>4.8</v>
      </c>
      <c r="G12" s="2">
        <v>285</v>
      </c>
      <c r="H12" s="5" t="s">
        <v>21</v>
      </c>
      <c r="I12" s="2" t="s">
        <v>22</v>
      </c>
      <c r="J12" s="6"/>
      <c r="K12" s="2"/>
      <c r="L12" s="2"/>
      <c r="M12" s="2"/>
      <c r="N12" s="2" t="s">
        <v>23</v>
      </c>
      <c r="O12" s="2"/>
      <c r="P12" s="2"/>
      <c r="Q12" s="2" t="s">
        <v>24</v>
      </c>
    </row>
    <row r="13" spans="1:17" x14ac:dyDescent="0.2">
      <c r="A13" s="7">
        <v>12</v>
      </c>
      <c r="B13" s="8" t="s">
        <v>53</v>
      </c>
      <c r="C13" s="7" t="s">
        <v>18</v>
      </c>
      <c r="D13" s="7" t="s">
        <v>54</v>
      </c>
      <c r="E13" s="7" t="s">
        <v>55</v>
      </c>
      <c r="F13" s="7">
        <v>4.2</v>
      </c>
      <c r="G13" s="7">
        <v>107</v>
      </c>
      <c r="H13" s="9" t="s">
        <v>21</v>
      </c>
      <c r="I13" s="7" t="s">
        <v>22</v>
      </c>
      <c r="J13" s="10"/>
      <c r="K13" s="7"/>
      <c r="L13" s="7"/>
      <c r="M13" s="7"/>
      <c r="N13" s="7" t="s">
        <v>23</v>
      </c>
      <c r="O13" s="7"/>
      <c r="P13" s="7"/>
      <c r="Q13" s="7" t="s">
        <v>24</v>
      </c>
    </row>
    <row r="14" spans="1:17" x14ac:dyDescent="0.2">
      <c r="A14" s="2">
        <v>13</v>
      </c>
      <c r="B14" s="3" t="s">
        <v>56</v>
      </c>
      <c r="C14" s="2" t="s">
        <v>18</v>
      </c>
      <c r="D14" s="2" t="s">
        <v>54</v>
      </c>
      <c r="E14" s="2" t="s">
        <v>57</v>
      </c>
      <c r="F14" s="11">
        <v>4.5999999999999996</v>
      </c>
      <c r="G14" s="2">
        <v>167</v>
      </c>
      <c r="H14" s="5" t="s">
        <v>21</v>
      </c>
      <c r="I14" s="2" t="s">
        <v>22</v>
      </c>
      <c r="J14" s="6"/>
      <c r="K14" s="2"/>
      <c r="L14" s="2"/>
      <c r="M14" s="2"/>
      <c r="N14" s="2" t="s">
        <v>23</v>
      </c>
      <c r="O14" s="2"/>
      <c r="P14" s="2"/>
      <c r="Q14" s="2" t="s">
        <v>24</v>
      </c>
    </row>
    <row r="15" spans="1:17" ht="16" x14ac:dyDescent="0.2">
      <c r="A15" s="7">
        <v>14</v>
      </c>
      <c r="B15" s="8" t="s">
        <v>58</v>
      </c>
      <c r="C15" s="7" t="s">
        <v>18</v>
      </c>
      <c r="D15" s="7" t="s">
        <v>59</v>
      </c>
      <c r="E15" s="7" t="s">
        <v>60</v>
      </c>
      <c r="F15" s="12">
        <v>4.9000000000000004</v>
      </c>
      <c r="G15" s="7">
        <v>50</v>
      </c>
      <c r="H15" s="9" t="s">
        <v>21</v>
      </c>
      <c r="I15" s="7" t="s">
        <v>22</v>
      </c>
      <c r="J15" s="10"/>
      <c r="K15" s="7"/>
      <c r="L15" s="7"/>
      <c r="M15" s="7"/>
      <c r="N15" s="7" t="s">
        <v>23</v>
      </c>
      <c r="O15" s="7"/>
      <c r="P15" s="7"/>
      <c r="Q15" s="7" t="s">
        <v>24</v>
      </c>
    </row>
    <row r="16" spans="1:17" ht="16" x14ac:dyDescent="0.2">
      <c r="A16" s="2">
        <v>15</v>
      </c>
      <c r="B16" s="3" t="s">
        <v>61</v>
      </c>
      <c r="C16" s="2" t="s">
        <v>18</v>
      </c>
      <c r="D16" s="2" t="s">
        <v>59</v>
      </c>
      <c r="E16" s="2" t="s">
        <v>62</v>
      </c>
      <c r="F16" s="4">
        <v>5</v>
      </c>
      <c r="G16" s="2">
        <v>409</v>
      </c>
      <c r="H16" s="5" t="s">
        <v>21</v>
      </c>
      <c r="I16" s="2" t="s">
        <v>22</v>
      </c>
      <c r="J16" s="6"/>
      <c r="K16" s="2"/>
      <c r="L16" s="2"/>
      <c r="M16" s="2"/>
      <c r="N16" s="2" t="s">
        <v>23</v>
      </c>
      <c r="O16" s="2"/>
      <c r="P16" s="2"/>
      <c r="Q16" s="2" t="s">
        <v>24</v>
      </c>
    </row>
    <row r="17" spans="1:17" ht="16" x14ac:dyDescent="0.2">
      <c r="A17" s="7">
        <v>16</v>
      </c>
      <c r="B17" s="8" t="s">
        <v>63</v>
      </c>
      <c r="C17" s="7" t="s">
        <v>64</v>
      </c>
      <c r="D17" s="7" t="s">
        <v>65</v>
      </c>
      <c r="E17" s="7" t="s">
        <v>66</v>
      </c>
      <c r="F17" s="12">
        <v>4.9000000000000004</v>
      </c>
      <c r="G17" s="7">
        <v>151</v>
      </c>
      <c r="H17" s="9" t="s">
        <v>21</v>
      </c>
      <c r="I17" s="7" t="s">
        <v>199</v>
      </c>
      <c r="J17" s="10"/>
      <c r="K17" s="7"/>
      <c r="L17" s="7"/>
      <c r="M17" s="7"/>
      <c r="N17" s="7" t="s">
        <v>23</v>
      </c>
      <c r="O17" s="7"/>
      <c r="P17" s="7"/>
      <c r="Q17" s="7" t="s">
        <v>24</v>
      </c>
    </row>
    <row r="18" spans="1:17" ht="16" x14ac:dyDescent="0.2">
      <c r="A18" s="2">
        <v>17</v>
      </c>
      <c r="B18" s="3" t="s">
        <v>67</v>
      </c>
      <c r="C18" s="2" t="s">
        <v>64</v>
      </c>
      <c r="D18" s="2" t="s">
        <v>68</v>
      </c>
      <c r="E18" s="2" t="s">
        <v>69</v>
      </c>
      <c r="F18" s="4">
        <v>4.8</v>
      </c>
      <c r="G18" s="2">
        <v>124</v>
      </c>
      <c r="H18" s="5" t="s">
        <v>21</v>
      </c>
      <c r="I18" s="2" t="s">
        <v>22</v>
      </c>
      <c r="J18" s="6"/>
      <c r="K18" s="2"/>
      <c r="L18" s="2"/>
      <c r="M18" s="2"/>
      <c r="N18" s="2" t="s">
        <v>23</v>
      </c>
      <c r="O18" s="2"/>
      <c r="P18" s="2"/>
      <c r="Q18" s="2" t="s">
        <v>24</v>
      </c>
    </row>
    <row r="19" spans="1:17" x14ac:dyDescent="0.2">
      <c r="A19" s="7">
        <v>18</v>
      </c>
      <c r="B19" s="8" t="s">
        <v>70</v>
      </c>
      <c r="C19" s="7" t="s">
        <v>64</v>
      </c>
      <c r="D19" s="7" t="s">
        <v>68</v>
      </c>
      <c r="E19" s="7" t="s">
        <v>71</v>
      </c>
      <c r="F19" s="13">
        <v>4.5999999999999996</v>
      </c>
      <c r="G19" s="7">
        <v>74</v>
      </c>
      <c r="H19" s="9" t="s">
        <v>21</v>
      </c>
      <c r="I19" s="7" t="s">
        <v>22</v>
      </c>
      <c r="J19" s="10"/>
      <c r="K19" s="7"/>
      <c r="L19" s="7"/>
      <c r="M19" s="7"/>
      <c r="N19" s="7" t="s">
        <v>23</v>
      </c>
      <c r="O19" s="7"/>
      <c r="P19" s="7"/>
      <c r="Q19" s="7" t="s">
        <v>24</v>
      </c>
    </row>
    <row r="20" spans="1:17" ht="16" x14ac:dyDescent="0.2">
      <c r="A20" s="2">
        <v>19</v>
      </c>
      <c r="B20" s="3" t="s">
        <v>72</v>
      </c>
      <c r="C20" s="2" t="s">
        <v>64</v>
      </c>
      <c r="D20" s="2" t="s">
        <v>68</v>
      </c>
      <c r="E20" s="2" t="s">
        <v>73</v>
      </c>
      <c r="F20" s="4">
        <v>4.9000000000000004</v>
      </c>
      <c r="G20" s="2">
        <v>45</v>
      </c>
      <c r="H20" s="5" t="s">
        <v>21</v>
      </c>
      <c r="I20" s="2" t="s">
        <v>22</v>
      </c>
      <c r="J20" s="6"/>
      <c r="K20" s="2"/>
      <c r="L20" s="2"/>
      <c r="M20" s="2"/>
      <c r="N20" s="2" t="s">
        <v>23</v>
      </c>
      <c r="O20" s="2"/>
      <c r="P20" s="2"/>
      <c r="Q20" s="2" t="s">
        <v>24</v>
      </c>
    </row>
    <row r="21" spans="1:17" x14ac:dyDescent="0.2">
      <c r="A21" s="7">
        <v>20</v>
      </c>
      <c r="B21" s="8" t="s">
        <v>74</v>
      </c>
      <c r="C21" s="7" t="s">
        <v>64</v>
      </c>
      <c r="D21" s="7" t="s">
        <v>75</v>
      </c>
      <c r="E21" s="7" t="s">
        <v>76</v>
      </c>
      <c r="F21" s="7">
        <v>4.4000000000000004</v>
      </c>
      <c r="G21" s="7">
        <v>149</v>
      </c>
      <c r="H21" s="9" t="s">
        <v>21</v>
      </c>
      <c r="I21" s="7" t="s">
        <v>22</v>
      </c>
      <c r="J21" s="10"/>
      <c r="K21" s="7"/>
      <c r="L21" s="7"/>
      <c r="M21" s="7"/>
      <c r="N21" s="7" t="s">
        <v>23</v>
      </c>
      <c r="O21" s="7"/>
      <c r="P21" s="7"/>
      <c r="Q21" s="7" t="s">
        <v>24</v>
      </c>
    </row>
    <row r="22" spans="1:17" x14ac:dyDescent="0.2">
      <c r="A22" s="2">
        <v>21</v>
      </c>
      <c r="B22" s="3" t="s">
        <v>77</v>
      </c>
      <c r="C22" s="2" t="s">
        <v>64</v>
      </c>
      <c r="D22" s="2" t="s">
        <v>78</v>
      </c>
      <c r="E22" s="2" t="s">
        <v>79</v>
      </c>
      <c r="F22" s="11">
        <v>4.7</v>
      </c>
      <c r="G22" s="2">
        <v>152</v>
      </c>
      <c r="H22" s="5" t="s">
        <v>21</v>
      </c>
      <c r="I22" s="2" t="s">
        <v>22</v>
      </c>
      <c r="J22" s="6"/>
      <c r="K22" s="2"/>
      <c r="L22" s="2"/>
      <c r="M22" s="2"/>
      <c r="N22" s="2" t="s">
        <v>23</v>
      </c>
      <c r="O22" s="2"/>
      <c r="P22" s="2"/>
      <c r="Q22" s="2" t="s">
        <v>24</v>
      </c>
    </row>
    <row r="23" spans="1:17" x14ac:dyDescent="0.2">
      <c r="A23" s="7">
        <v>22</v>
      </c>
      <c r="B23" s="8" t="s">
        <v>80</v>
      </c>
      <c r="C23" s="7" t="s">
        <v>64</v>
      </c>
      <c r="D23" s="7" t="s">
        <v>26</v>
      </c>
      <c r="E23" s="7" t="s">
        <v>81</v>
      </c>
      <c r="F23" s="13">
        <v>4.7</v>
      </c>
      <c r="G23" s="7">
        <v>71</v>
      </c>
      <c r="H23" s="9" t="s">
        <v>21</v>
      </c>
      <c r="I23" s="7" t="s">
        <v>22</v>
      </c>
      <c r="J23" s="10"/>
      <c r="K23" s="7"/>
      <c r="L23" s="7"/>
      <c r="M23" s="7"/>
      <c r="N23" s="7" t="s">
        <v>23</v>
      </c>
      <c r="O23" s="7"/>
      <c r="P23" s="7"/>
      <c r="Q23" s="7" t="s">
        <v>24</v>
      </c>
    </row>
    <row r="24" spans="1:17" x14ac:dyDescent="0.2">
      <c r="A24" s="2">
        <v>23</v>
      </c>
      <c r="B24" s="3" t="s">
        <v>82</v>
      </c>
      <c r="C24" s="2" t="s">
        <v>64</v>
      </c>
      <c r="D24" s="2" t="s">
        <v>26</v>
      </c>
      <c r="E24" s="2" t="s">
        <v>83</v>
      </c>
      <c r="F24" s="11">
        <v>4.7</v>
      </c>
      <c r="G24" s="2">
        <v>15</v>
      </c>
      <c r="H24" s="5" t="s">
        <v>21</v>
      </c>
      <c r="I24" s="2" t="s">
        <v>22</v>
      </c>
      <c r="J24" s="6"/>
      <c r="K24" s="2"/>
      <c r="L24" s="2"/>
      <c r="M24" s="2"/>
      <c r="N24" s="2" t="s">
        <v>23</v>
      </c>
      <c r="O24" s="2"/>
      <c r="P24" s="2"/>
      <c r="Q24" s="2" t="s">
        <v>24</v>
      </c>
    </row>
    <row r="25" spans="1:17" ht="16" x14ac:dyDescent="0.2">
      <c r="A25" s="7">
        <v>24</v>
      </c>
      <c r="B25" s="8" t="s">
        <v>84</v>
      </c>
      <c r="C25" s="7" t="s">
        <v>64</v>
      </c>
      <c r="D25" s="7" t="s">
        <v>26</v>
      </c>
      <c r="E25" s="7" t="s">
        <v>85</v>
      </c>
      <c r="F25" s="12">
        <v>4.8</v>
      </c>
      <c r="G25" s="7">
        <v>91</v>
      </c>
      <c r="H25" s="9" t="s">
        <v>21</v>
      </c>
      <c r="I25" s="7" t="s">
        <v>22</v>
      </c>
      <c r="J25" s="10"/>
      <c r="K25" s="7"/>
      <c r="L25" s="7"/>
      <c r="M25" s="7"/>
      <c r="N25" s="7" t="s">
        <v>23</v>
      </c>
      <c r="O25" s="7"/>
      <c r="P25" s="7"/>
      <c r="Q25" s="7" t="s">
        <v>24</v>
      </c>
    </row>
    <row r="26" spans="1:17" x14ac:dyDescent="0.2">
      <c r="A26" s="2">
        <v>25</v>
      </c>
      <c r="B26" s="3" t="s">
        <v>86</v>
      </c>
      <c r="C26" s="2" t="s">
        <v>64</v>
      </c>
      <c r="D26" s="2" t="s">
        <v>26</v>
      </c>
      <c r="E26" s="2" t="s">
        <v>87</v>
      </c>
      <c r="F26" s="11">
        <v>4.7</v>
      </c>
      <c r="G26" s="2">
        <v>46</v>
      </c>
      <c r="H26" s="5" t="s">
        <v>21</v>
      </c>
      <c r="I26" s="2" t="s">
        <v>22</v>
      </c>
      <c r="J26" s="6"/>
      <c r="K26" s="2"/>
      <c r="L26" s="2"/>
      <c r="M26" s="2"/>
      <c r="N26" s="2" t="s">
        <v>23</v>
      </c>
      <c r="O26" s="2"/>
      <c r="P26" s="2"/>
      <c r="Q26" s="2" t="s">
        <v>24</v>
      </c>
    </row>
    <row r="27" spans="1:17" x14ac:dyDescent="0.2">
      <c r="A27" s="7">
        <v>26</v>
      </c>
      <c r="B27" s="8" t="s">
        <v>88</v>
      </c>
      <c r="C27" s="7" t="s">
        <v>64</v>
      </c>
      <c r="D27" s="7" t="s">
        <v>26</v>
      </c>
      <c r="E27" s="7" t="s">
        <v>89</v>
      </c>
      <c r="F27" s="13">
        <v>4.5999999999999996</v>
      </c>
      <c r="G27" s="7">
        <v>89</v>
      </c>
      <c r="H27" s="9" t="s">
        <v>21</v>
      </c>
      <c r="I27" s="7" t="s">
        <v>22</v>
      </c>
      <c r="J27" s="10"/>
      <c r="K27" s="7"/>
      <c r="L27" s="7"/>
      <c r="M27" s="7"/>
      <c r="N27" s="7" t="s">
        <v>23</v>
      </c>
      <c r="O27" s="7"/>
      <c r="P27" s="7"/>
      <c r="Q27" s="7" t="s">
        <v>24</v>
      </c>
    </row>
    <row r="28" spans="1:17" x14ac:dyDescent="0.2">
      <c r="A28" s="2">
        <v>27</v>
      </c>
      <c r="B28" s="3" t="s">
        <v>90</v>
      </c>
      <c r="C28" s="2" t="s">
        <v>64</v>
      </c>
      <c r="D28" s="2" t="s">
        <v>31</v>
      </c>
      <c r="E28" s="2" t="s">
        <v>91</v>
      </c>
      <c r="F28" s="11">
        <v>4.5999999999999996</v>
      </c>
      <c r="G28" s="2">
        <v>199</v>
      </c>
      <c r="H28" s="5" t="s">
        <v>21</v>
      </c>
      <c r="I28" s="2" t="s">
        <v>22</v>
      </c>
      <c r="J28" s="6"/>
      <c r="K28" s="2"/>
      <c r="L28" s="2"/>
      <c r="M28" s="2"/>
      <c r="N28" s="2" t="s">
        <v>23</v>
      </c>
      <c r="O28" s="2"/>
      <c r="P28" s="2"/>
      <c r="Q28" s="2" t="s">
        <v>24</v>
      </c>
    </row>
    <row r="29" spans="1:17" ht="16" x14ac:dyDescent="0.2">
      <c r="A29" s="7">
        <v>28</v>
      </c>
      <c r="B29" s="8" t="s">
        <v>92</v>
      </c>
      <c r="C29" s="7" t="s">
        <v>64</v>
      </c>
      <c r="D29" s="7" t="s">
        <v>31</v>
      </c>
      <c r="E29" s="7" t="s">
        <v>93</v>
      </c>
      <c r="F29" s="12">
        <v>5</v>
      </c>
      <c r="G29" s="7">
        <v>94</v>
      </c>
      <c r="H29" s="9" t="s">
        <v>21</v>
      </c>
      <c r="I29" s="7" t="s">
        <v>22</v>
      </c>
      <c r="J29" s="10"/>
      <c r="K29" s="7"/>
      <c r="L29" s="7"/>
      <c r="M29" s="7"/>
      <c r="N29" s="7" t="s">
        <v>23</v>
      </c>
      <c r="O29" s="7"/>
      <c r="P29" s="7"/>
      <c r="Q29" s="7" t="s">
        <v>24</v>
      </c>
    </row>
    <row r="30" spans="1:17" x14ac:dyDescent="0.2">
      <c r="A30" s="2">
        <v>29</v>
      </c>
      <c r="B30" s="3" t="s">
        <v>94</v>
      </c>
      <c r="C30" s="2" t="s">
        <v>64</v>
      </c>
      <c r="D30" s="2" t="s">
        <v>95</v>
      </c>
      <c r="E30" s="2" t="s">
        <v>96</v>
      </c>
      <c r="F30" s="11">
        <v>4.7</v>
      </c>
      <c r="G30" s="2">
        <v>344</v>
      </c>
      <c r="H30" s="5" t="s">
        <v>21</v>
      </c>
      <c r="I30" s="2" t="s">
        <v>22</v>
      </c>
      <c r="J30" s="6"/>
      <c r="K30" s="2"/>
      <c r="L30" s="2"/>
      <c r="M30" s="2"/>
      <c r="N30" s="2" t="s">
        <v>23</v>
      </c>
      <c r="O30" s="2"/>
      <c r="P30" s="2"/>
      <c r="Q30" s="2" t="s">
        <v>24</v>
      </c>
    </row>
    <row r="31" spans="1:17" ht="16" x14ac:dyDescent="0.2">
      <c r="A31" s="7">
        <v>30</v>
      </c>
      <c r="B31" s="8" t="s">
        <v>97</v>
      </c>
      <c r="C31" s="7" t="s">
        <v>64</v>
      </c>
      <c r="D31" s="7" t="s">
        <v>98</v>
      </c>
      <c r="E31" s="7" t="s">
        <v>99</v>
      </c>
      <c r="F31" s="12">
        <v>4.9000000000000004</v>
      </c>
      <c r="G31" s="7">
        <v>42</v>
      </c>
      <c r="H31" s="9" t="s">
        <v>21</v>
      </c>
      <c r="I31" s="7" t="s">
        <v>22</v>
      </c>
      <c r="J31" s="10"/>
      <c r="K31" s="7"/>
      <c r="L31" s="7"/>
      <c r="M31" s="7"/>
      <c r="N31" s="7" t="s">
        <v>23</v>
      </c>
      <c r="O31" s="7"/>
      <c r="P31" s="7"/>
      <c r="Q31" s="7" t="s">
        <v>24</v>
      </c>
    </row>
    <row r="32" spans="1:17" x14ac:dyDescent="0.2">
      <c r="A32" s="2">
        <v>31</v>
      </c>
      <c r="B32" s="3" t="s">
        <v>100</v>
      </c>
      <c r="C32" s="2" t="s">
        <v>64</v>
      </c>
      <c r="D32" s="2" t="s">
        <v>101</v>
      </c>
      <c r="E32" s="2" t="s">
        <v>102</v>
      </c>
      <c r="F32" s="11">
        <v>4.7</v>
      </c>
      <c r="G32" s="2">
        <v>61</v>
      </c>
      <c r="H32" s="5" t="s">
        <v>21</v>
      </c>
      <c r="I32" s="2" t="s">
        <v>22</v>
      </c>
      <c r="J32" s="6"/>
      <c r="K32" s="2"/>
      <c r="L32" s="2"/>
      <c r="M32" s="2"/>
      <c r="N32" s="2" t="s">
        <v>23</v>
      </c>
      <c r="O32" s="2"/>
      <c r="P32" s="2"/>
      <c r="Q32" s="2" t="s">
        <v>24</v>
      </c>
    </row>
    <row r="33" spans="1:17" x14ac:dyDescent="0.2">
      <c r="A33" s="7">
        <v>32</v>
      </c>
      <c r="B33" s="8" t="s">
        <v>103</v>
      </c>
      <c r="C33" s="7" t="s">
        <v>64</v>
      </c>
      <c r="D33" s="7" t="s">
        <v>45</v>
      </c>
      <c r="E33" s="7" t="s">
        <v>104</v>
      </c>
      <c r="F33" s="13">
        <v>4.7</v>
      </c>
      <c r="G33" s="7">
        <v>41</v>
      </c>
      <c r="H33" s="9" t="s">
        <v>21</v>
      </c>
      <c r="I33" s="7" t="s">
        <v>22</v>
      </c>
      <c r="J33" s="10"/>
      <c r="K33" s="7"/>
      <c r="L33" s="7"/>
      <c r="M33" s="7"/>
      <c r="N33" s="7" t="s">
        <v>23</v>
      </c>
      <c r="O33" s="7"/>
      <c r="P33" s="7"/>
      <c r="Q33" s="7" t="s">
        <v>24</v>
      </c>
    </row>
    <row r="34" spans="1:17" ht="16" x14ac:dyDescent="0.2">
      <c r="A34" s="2">
        <v>33</v>
      </c>
      <c r="B34" s="3" t="s">
        <v>105</v>
      </c>
      <c r="C34" s="2" t="s">
        <v>64</v>
      </c>
      <c r="D34" s="2" t="s">
        <v>45</v>
      </c>
      <c r="E34" s="2" t="s">
        <v>104</v>
      </c>
      <c r="F34" s="4">
        <v>4.8</v>
      </c>
      <c r="G34" s="2">
        <v>56</v>
      </c>
      <c r="H34" s="5" t="s">
        <v>21</v>
      </c>
      <c r="I34" s="2" t="s">
        <v>22</v>
      </c>
      <c r="J34" s="6"/>
      <c r="K34" s="2"/>
      <c r="L34" s="2"/>
      <c r="M34" s="2"/>
      <c r="N34" s="2" t="s">
        <v>23</v>
      </c>
      <c r="O34" s="2"/>
      <c r="P34" s="2"/>
      <c r="Q34" s="2" t="s">
        <v>24</v>
      </c>
    </row>
    <row r="35" spans="1:17" x14ac:dyDescent="0.2">
      <c r="A35" s="7">
        <v>34</v>
      </c>
      <c r="B35" s="8" t="s">
        <v>106</v>
      </c>
      <c r="C35" s="7" t="s">
        <v>64</v>
      </c>
      <c r="D35" s="7" t="s">
        <v>48</v>
      </c>
      <c r="E35" s="7" t="s">
        <v>107</v>
      </c>
      <c r="F35" s="13">
        <v>4.5999999999999996</v>
      </c>
      <c r="G35" s="7">
        <v>176</v>
      </c>
      <c r="H35" s="9" t="s">
        <v>21</v>
      </c>
      <c r="I35" s="7" t="s">
        <v>22</v>
      </c>
      <c r="J35" s="10"/>
      <c r="K35" s="7"/>
      <c r="L35" s="7"/>
      <c r="M35" s="7"/>
      <c r="N35" s="7" t="s">
        <v>23</v>
      </c>
      <c r="O35" s="7"/>
      <c r="P35" s="7"/>
      <c r="Q35" s="7" t="s">
        <v>24</v>
      </c>
    </row>
    <row r="36" spans="1:17" ht="16" x14ac:dyDescent="0.2">
      <c r="A36" s="2">
        <v>35</v>
      </c>
      <c r="B36" s="3" t="s">
        <v>108</v>
      </c>
      <c r="C36" s="2" t="s">
        <v>64</v>
      </c>
      <c r="D36" s="2" t="s">
        <v>48</v>
      </c>
      <c r="E36" s="2" t="s">
        <v>109</v>
      </c>
      <c r="F36" s="4">
        <v>4.8</v>
      </c>
      <c r="G36" s="2">
        <v>19</v>
      </c>
      <c r="H36" s="5" t="s">
        <v>21</v>
      </c>
      <c r="I36" s="2" t="s">
        <v>22</v>
      </c>
      <c r="J36" s="6"/>
      <c r="K36" s="2"/>
      <c r="L36" s="2"/>
      <c r="M36" s="2"/>
      <c r="N36" s="2" t="s">
        <v>23</v>
      </c>
      <c r="O36" s="2"/>
      <c r="P36" s="2"/>
      <c r="Q36" s="2" t="s">
        <v>24</v>
      </c>
    </row>
    <row r="37" spans="1:17" x14ac:dyDescent="0.2">
      <c r="A37" s="7">
        <v>36</v>
      </c>
      <c r="B37" s="8" t="s">
        <v>110</v>
      </c>
      <c r="C37" s="7" t="s">
        <v>64</v>
      </c>
      <c r="D37" s="7" t="s">
        <v>48</v>
      </c>
      <c r="E37" s="7" t="s">
        <v>111</v>
      </c>
      <c r="F37" s="13">
        <v>4.7</v>
      </c>
      <c r="G37" s="7">
        <v>116</v>
      </c>
      <c r="H37" s="9" t="s">
        <v>21</v>
      </c>
      <c r="I37" s="7" t="s">
        <v>22</v>
      </c>
      <c r="J37" s="10"/>
      <c r="K37" s="7"/>
      <c r="L37" s="7"/>
      <c r="M37" s="7"/>
      <c r="N37" s="7" t="s">
        <v>23</v>
      </c>
      <c r="O37" s="7"/>
      <c r="P37" s="7"/>
      <c r="Q37" s="7" t="s">
        <v>24</v>
      </c>
    </row>
    <row r="38" spans="1:17" x14ac:dyDescent="0.2">
      <c r="A38" s="2">
        <v>37</v>
      </c>
      <c r="B38" s="3" t="s">
        <v>112</v>
      </c>
      <c r="C38" s="2" t="s">
        <v>64</v>
      </c>
      <c r="D38" s="2" t="s">
        <v>51</v>
      </c>
      <c r="E38" s="2" t="s">
        <v>113</v>
      </c>
      <c r="F38" s="11">
        <v>4.7</v>
      </c>
      <c r="G38" s="2">
        <v>83</v>
      </c>
      <c r="H38" s="5" t="s">
        <v>21</v>
      </c>
      <c r="I38" s="2" t="s">
        <v>22</v>
      </c>
      <c r="J38" s="6"/>
      <c r="K38" s="2"/>
      <c r="L38" s="2"/>
      <c r="M38" s="2"/>
      <c r="N38" s="2" t="s">
        <v>23</v>
      </c>
      <c r="O38" s="2"/>
      <c r="P38" s="2"/>
      <c r="Q38" s="2" t="s">
        <v>24</v>
      </c>
    </row>
    <row r="39" spans="1:17" x14ac:dyDescent="0.2">
      <c r="A39" s="7">
        <v>38</v>
      </c>
      <c r="B39" s="8" t="s">
        <v>114</v>
      </c>
      <c r="C39" s="7" t="s">
        <v>64</v>
      </c>
      <c r="D39" s="7" t="s">
        <v>51</v>
      </c>
      <c r="E39" s="7" t="s">
        <v>115</v>
      </c>
      <c r="F39" s="7">
        <v>4.4000000000000004</v>
      </c>
      <c r="G39" s="7">
        <v>119</v>
      </c>
      <c r="H39" s="9" t="s">
        <v>21</v>
      </c>
      <c r="I39" s="7" t="s">
        <v>22</v>
      </c>
      <c r="J39" s="10"/>
      <c r="K39" s="7"/>
      <c r="L39" s="7"/>
      <c r="M39" s="7"/>
      <c r="N39" s="7" t="s">
        <v>23</v>
      </c>
      <c r="O39" s="7"/>
      <c r="P39" s="7"/>
      <c r="Q39" s="7" t="s">
        <v>24</v>
      </c>
    </row>
    <row r="40" spans="1:17" ht="16" x14ac:dyDescent="0.2">
      <c r="A40" s="2">
        <v>39</v>
      </c>
      <c r="B40" s="3" t="s">
        <v>116</v>
      </c>
      <c r="C40" s="2" t="s">
        <v>64</v>
      </c>
      <c r="D40" s="2" t="s">
        <v>54</v>
      </c>
      <c r="E40" s="2" t="s">
        <v>117</v>
      </c>
      <c r="F40" s="4">
        <v>4.8</v>
      </c>
      <c r="G40" s="2">
        <v>96</v>
      </c>
      <c r="H40" s="5" t="s">
        <v>21</v>
      </c>
      <c r="I40" s="2" t="s">
        <v>22</v>
      </c>
      <c r="J40" s="6"/>
      <c r="K40" s="2"/>
      <c r="L40" s="2"/>
      <c r="M40" s="2"/>
      <c r="N40" s="2" t="s">
        <v>23</v>
      </c>
      <c r="O40" s="2"/>
      <c r="P40" s="2"/>
      <c r="Q40" s="2" t="s">
        <v>24</v>
      </c>
    </row>
    <row r="41" spans="1:17" x14ac:dyDescent="0.2">
      <c r="A41" s="7">
        <v>40</v>
      </c>
      <c r="B41" s="8" t="s">
        <v>118</v>
      </c>
      <c r="C41" s="7" t="s">
        <v>64</v>
      </c>
      <c r="D41" s="7" t="s">
        <v>54</v>
      </c>
      <c r="E41" s="7" t="s">
        <v>119</v>
      </c>
      <c r="F41" s="13">
        <v>4.5</v>
      </c>
      <c r="G41" s="7">
        <v>87</v>
      </c>
      <c r="H41" s="9" t="s">
        <v>21</v>
      </c>
      <c r="I41" s="7" t="s">
        <v>22</v>
      </c>
      <c r="J41" s="10"/>
      <c r="K41" s="7"/>
      <c r="L41" s="7"/>
      <c r="M41" s="7"/>
      <c r="N41" s="7" t="s">
        <v>23</v>
      </c>
      <c r="O41" s="7"/>
      <c r="P41" s="7"/>
      <c r="Q41" s="7" t="s">
        <v>24</v>
      </c>
    </row>
    <row r="42" spans="1:17" ht="16" x14ac:dyDescent="0.2">
      <c r="A42" s="2">
        <v>41</v>
      </c>
      <c r="B42" s="3" t="s">
        <v>120</v>
      </c>
      <c r="C42" s="2" t="s">
        <v>64</v>
      </c>
      <c r="D42" s="2" t="s">
        <v>59</v>
      </c>
      <c r="E42" s="2" t="s">
        <v>121</v>
      </c>
      <c r="F42" s="4">
        <v>4.9000000000000004</v>
      </c>
      <c r="G42" s="2">
        <v>65</v>
      </c>
      <c r="H42" s="5" t="s">
        <v>21</v>
      </c>
      <c r="I42" s="2" t="s">
        <v>22</v>
      </c>
      <c r="J42" s="6"/>
      <c r="K42" s="2"/>
      <c r="L42" s="2"/>
      <c r="M42" s="2"/>
      <c r="N42" s="2" t="s">
        <v>23</v>
      </c>
      <c r="O42" s="2"/>
      <c r="P42" s="2"/>
      <c r="Q42" s="2" t="s">
        <v>24</v>
      </c>
    </row>
    <row r="43" spans="1:17" x14ac:dyDescent="0.2">
      <c r="A43" s="7">
        <v>42</v>
      </c>
      <c r="B43" s="8" t="s">
        <v>122</v>
      </c>
      <c r="C43" s="7" t="s">
        <v>64</v>
      </c>
      <c r="D43" s="7" t="s">
        <v>123</v>
      </c>
      <c r="E43" s="7" t="s">
        <v>124</v>
      </c>
      <c r="F43" s="13">
        <v>4.5999999999999996</v>
      </c>
      <c r="G43" s="7">
        <v>146</v>
      </c>
      <c r="H43" s="9" t="s">
        <v>21</v>
      </c>
      <c r="I43" s="7" t="s">
        <v>22</v>
      </c>
      <c r="J43" s="10"/>
      <c r="K43" s="7"/>
      <c r="L43" s="7"/>
      <c r="M43" s="7"/>
      <c r="N43" s="7" t="s">
        <v>23</v>
      </c>
      <c r="O43" s="7"/>
      <c r="P43" s="7"/>
      <c r="Q43" s="7" t="s">
        <v>24</v>
      </c>
    </row>
    <row r="44" spans="1:17" x14ac:dyDescent="0.2">
      <c r="A44" s="2">
        <v>43</v>
      </c>
      <c r="B44" s="3" t="s">
        <v>125</v>
      </c>
      <c r="C44" s="2" t="s">
        <v>64</v>
      </c>
      <c r="D44" s="2" t="s">
        <v>126</v>
      </c>
      <c r="E44" s="2" t="s">
        <v>127</v>
      </c>
      <c r="F44" s="11">
        <v>4.5999999999999996</v>
      </c>
      <c r="G44" s="2">
        <v>90</v>
      </c>
      <c r="H44" s="5" t="s">
        <v>21</v>
      </c>
      <c r="I44" s="2" t="s">
        <v>22</v>
      </c>
      <c r="J44" s="6"/>
      <c r="K44" s="2"/>
      <c r="L44" s="2"/>
      <c r="M44" s="2"/>
      <c r="N44" s="2" t="s">
        <v>23</v>
      </c>
      <c r="O44" s="2"/>
      <c r="P44" s="2"/>
      <c r="Q44" s="2" t="s">
        <v>24</v>
      </c>
    </row>
    <row r="45" spans="1:17" ht="16" x14ac:dyDescent="0.2">
      <c r="A45" s="7">
        <v>44</v>
      </c>
      <c r="B45" s="8" t="s">
        <v>128</v>
      </c>
      <c r="C45" s="7" t="s">
        <v>64</v>
      </c>
      <c r="D45" s="7" t="s">
        <v>126</v>
      </c>
      <c r="E45" s="7" t="s">
        <v>129</v>
      </c>
      <c r="F45" s="12">
        <v>4.8</v>
      </c>
      <c r="G45" s="7">
        <v>271</v>
      </c>
      <c r="H45" s="9" t="s">
        <v>21</v>
      </c>
      <c r="I45" s="7" t="s">
        <v>22</v>
      </c>
      <c r="J45" s="10"/>
      <c r="K45" s="7"/>
      <c r="L45" s="7"/>
      <c r="M45" s="7"/>
      <c r="N45" s="7" t="s">
        <v>23</v>
      </c>
      <c r="O45" s="7"/>
      <c r="P45" s="7"/>
      <c r="Q45" s="7" t="s">
        <v>24</v>
      </c>
    </row>
    <row r="46" spans="1:17" ht="16" x14ac:dyDescent="0.2">
      <c r="A46" s="2">
        <v>45</v>
      </c>
      <c r="B46" s="3" t="s">
        <v>130</v>
      </c>
      <c r="C46" s="2" t="s">
        <v>64</v>
      </c>
      <c r="D46" s="2" t="s">
        <v>131</v>
      </c>
      <c r="E46" s="2" t="s">
        <v>132</v>
      </c>
      <c r="F46" s="4">
        <v>4.8</v>
      </c>
      <c r="G46" s="2">
        <v>127</v>
      </c>
      <c r="H46" s="5" t="s">
        <v>21</v>
      </c>
      <c r="I46" s="2" t="s">
        <v>22</v>
      </c>
      <c r="J46" s="6"/>
      <c r="K46" s="2"/>
      <c r="L46" s="2"/>
      <c r="M46" s="2"/>
      <c r="N46" s="2" t="s">
        <v>23</v>
      </c>
      <c r="O46" s="2"/>
      <c r="P46" s="2"/>
      <c r="Q46" s="2" t="s">
        <v>24</v>
      </c>
    </row>
    <row r="47" spans="1:17" ht="16" x14ac:dyDescent="0.2">
      <c r="A47" s="7">
        <v>46</v>
      </c>
      <c r="B47" s="8" t="s">
        <v>133</v>
      </c>
      <c r="C47" s="7" t="s">
        <v>64</v>
      </c>
      <c r="D47" s="7" t="s">
        <v>134</v>
      </c>
      <c r="E47" s="7" t="s">
        <v>135</v>
      </c>
      <c r="F47" s="12">
        <v>4.8</v>
      </c>
      <c r="G47" s="7">
        <v>88</v>
      </c>
      <c r="H47" s="9" t="s">
        <v>21</v>
      </c>
      <c r="I47" s="7" t="s">
        <v>22</v>
      </c>
      <c r="J47" s="10"/>
      <c r="K47" s="7"/>
      <c r="L47" s="7"/>
      <c r="M47" s="7"/>
      <c r="N47" s="7" t="s">
        <v>23</v>
      </c>
      <c r="O47" s="7"/>
      <c r="P47" s="7"/>
      <c r="Q47" s="7" t="s">
        <v>24</v>
      </c>
    </row>
    <row r="48" spans="1:17" x14ac:dyDescent="0.2">
      <c r="A48" s="2">
        <v>47</v>
      </c>
      <c r="B48" s="3" t="s">
        <v>136</v>
      </c>
      <c r="C48" s="2" t="s">
        <v>64</v>
      </c>
      <c r="D48" s="2" t="s">
        <v>137</v>
      </c>
      <c r="E48" s="2" t="s">
        <v>138</v>
      </c>
      <c r="F48" s="2">
        <v>4.4000000000000004</v>
      </c>
      <c r="G48" s="2">
        <v>141</v>
      </c>
      <c r="H48" s="5" t="s">
        <v>21</v>
      </c>
      <c r="I48" s="2" t="s">
        <v>22</v>
      </c>
      <c r="J48" s="6"/>
      <c r="K48" s="2"/>
      <c r="L48" s="2"/>
      <c r="M48" s="2"/>
      <c r="N48" s="2" t="s">
        <v>23</v>
      </c>
      <c r="O48" s="2"/>
      <c r="P48" s="2"/>
      <c r="Q48" s="2" t="s">
        <v>24</v>
      </c>
    </row>
    <row r="49" spans="1:17" ht="16" x14ac:dyDescent="0.2">
      <c r="A49" s="7">
        <v>48</v>
      </c>
      <c r="B49" s="8" t="s">
        <v>139</v>
      </c>
      <c r="C49" s="7" t="s">
        <v>140</v>
      </c>
      <c r="D49" s="7" t="s">
        <v>42</v>
      </c>
      <c r="E49" s="7" t="s">
        <v>141</v>
      </c>
      <c r="F49" s="12">
        <v>4.9000000000000004</v>
      </c>
      <c r="G49" s="7">
        <v>298</v>
      </c>
      <c r="H49" s="9" t="s">
        <v>21</v>
      </c>
      <c r="I49" s="7" t="s">
        <v>22</v>
      </c>
      <c r="J49" s="10"/>
      <c r="K49" s="7"/>
      <c r="L49" s="7"/>
      <c r="M49" s="7"/>
      <c r="N49" s="7" t="s">
        <v>23</v>
      </c>
      <c r="O49" s="7"/>
      <c r="P49" s="7"/>
      <c r="Q49" s="7" t="s">
        <v>24</v>
      </c>
    </row>
    <row r="50" spans="1:17" ht="16" x14ac:dyDescent="0.2">
      <c r="A50" s="2">
        <v>49</v>
      </c>
      <c r="B50" s="3" t="s">
        <v>142</v>
      </c>
      <c r="C50" s="2" t="s">
        <v>140</v>
      </c>
      <c r="D50" s="2" t="s">
        <v>65</v>
      </c>
      <c r="E50" s="2" t="s">
        <v>143</v>
      </c>
      <c r="F50" s="4">
        <v>4.8</v>
      </c>
      <c r="G50" s="2">
        <v>499</v>
      </c>
      <c r="H50" s="5" t="s">
        <v>21</v>
      </c>
      <c r="I50" s="2" t="s">
        <v>22</v>
      </c>
      <c r="J50" s="6"/>
      <c r="K50" s="2"/>
      <c r="L50" s="2"/>
      <c r="M50" s="2"/>
      <c r="N50" s="2" t="s">
        <v>23</v>
      </c>
      <c r="O50" s="2"/>
      <c r="P50" s="2"/>
      <c r="Q50" s="2" t="s">
        <v>24</v>
      </c>
    </row>
    <row r="51" spans="1:17" ht="16" x14ac:dyDescent="0.2">
      <c r="A51" s="7">
        <v>50</v>
      </c>
      <c r="B51" s="8" t="s">
        <v>144</v>
      </c>
      <c r="C51" s="7" t="s">
        <v>140</v>
      </c>
      <c r="D51" s="7" t="s">
        <v>65</v>
      </c>
      <c r="E51" s="7" t="s">
        <v>145</v>
      </c>
      <c r="F51" s="12">
        <v>4.9000000000000004</v>
      </c>
      <c r="G51" s="7">
        <v>109</v>
      </c>
      <c r="H51" s="9" t="s">
        <v>21</v>
      </c>
      <c r="I51" s="7" t="s">
        <v>22</v>
      </c>
      <c r="J51" s="10"/>
      <c r="K51" s="7"/>
      <c r="L51" s="7"/>
      <c r="M51" s="7"/>
      <c r="N51" s="7" t="s">
        <v>23</v>
      </c>
      <c r="O51" s="7"/>
      <c r="P51" s="7"/>
      <c r="Q51" s="7" t="s">
        <v>24</v>
      </c>
    </row>
  </sheetData>
  <autoFilter ref="A1:Q51" xr:uid="{00000000-0009-0000-0000-000000000000}"/>
  <conditionalFormatting sqref="I2:I51">
    <cfRule type="cellIs" dxfId="11" priority="1" operator="equal">
      <formula>"Not Called"</formula>
    </cfRule>
    <cfRule type="cellIs" dxfId="10" priority="2" operator="equal">
      <formula>"Called - No Answer"</formula>
    </cfRule>
    <cfRule type="cellIs" dxfId="9" priority="3" operator="equal">
      <formula>"Called - Left Voicemail"</formula>
    </cfRule>
    <cfRule type="cellIs" dxfId="8" priority="4" operator="equal">
      <formula>"Called - Not Interested"</formula>
    </cfRule>
    <cfRule type="cellIs" dxfId="7" priority="5" operator="equal">
      <formula>"Called - Interested"</formula>
    </cfRule>
    <cfRule type="cellIs" dxfId="6" priority="6" operator="equal">
      <formula>"Meeting Booked"</formula>
    </cfRule>
    <cfRule type="cellIs" dxfId="5" priority="7" operator="equal">
      <formula>"Follow Up Later"</formula>
    </cfRule>
  </conditionalFormatting>
  <conditionalFormatting sqref="K2:K51">
    <cfRule type="expression" dxfId="4" priority="10">
      <formula>SEARCH("5 -",K2)&gt;0</formula>
    </cfRule>
    <cfRule type="expression" dxfId="3" priority="11">
      <formula>SEARCH("4 -",K2)&gt;0</formula>
    </cfRule>
    <cfRule type="expression" dxfId="2" priority="12">
      <formula>SEARCH("1 -",K2)&gt;0</formula>
    </cfRule>
  </conditionalFormatting>
  <conditionalFormatting sqref="P2:P51">
    <cfRule type="expression" dxfId="1" priority="8">
      <formula>SEARCH("SOLD",P2)&gt;0</formula>
    </cfRule>
    <cfRule type="expression" dxfId="0" priority="9">
      <formula>SEARCH("Lost",P2)&gt;0</formula>
    </cfRule>
  </conditionalFormatting>
  <dataValidations count="4">
    <dataValidation type="list" allowBlank="1" errorTitle="Invalid Status" error="Please select a valid call status" promptTitle="Call Status" prompt="Select call outcome" sqref="I2:I51" xr:uid="{00000000-0002-0000-0000-000000000000}">
      <formula1>"Not Called,Called - No Answer,Called - Left Voicemail,Called - Not Interested,Called - Interested,Meeting Booked,Follow Up Later"</formula1>
    </dataValidation>
    <dataValidation type="list" allowBlank="1" promptTitle="Interest" prompt="Rate their interest level" sqref="K2:K51" xr:uid="{00000000-0002-0000-0000-000001000000}">
      <formula1>"1 - Cold,2 - Lukewarm,3 - Warm,4 - Hot,5 - Ready to Buy"</formula1>
    </dataValidation>
    <dataValidation type="list" allowBlank="1" sqref="N2:N51" xr:uid="{00000000-0002-0000-0000-000002000000}">
      <formula1>"No,In Progress,Built - Not Shown,Shown to Client"</formula1>
    </dataValidation>
    <dataValidation type="list" allowBlank="1" sqref="P2:P51" xr:uid="{00000000-0002-0000-0000-000003000000}">
      <formula1>"Not Started,Proposal Sent,Negotiating,SOLD ✅,Lost ❌"</formula1>
    </dataValidation>
  </dataValidations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47A1"/>
  </sheetPr>
  <dimension ref="A1:H22"/>
  <sheetViews>
    <sheetView workbookViewId="0">
      <selection sqref="A1:H1"/>
    </sheetView>
  </sheetViews>
  <sheetFormatPr baseColWidth="10" defaultColWidth="8.83203125" defaultRowHeight="15" x14ac:dyDescent="0.2"/>
  <cols>
    <col min="1" max="8" width="16" customWidth="1"/>
  </cols>
  <sheetData>
    <row r="1" spans="1:8" ht="45" customHeight="1" x14ac:dyDescent="0.2">
      <c r="A1" s="41" t="s">
        <v>146</v>
      </c>
      <c r="B1" s="40"/>
      <c r="C1" s="40"/>
      <c r="D1" s="40"/>
      <c r="E1" s="40"/>
      <c r="F1" s="40"/>
      <c r="G1" s="40"/>
      <c r="H1" s="40"/>
    </row>
    <row r="2" spans="1:8" ht="16" x14ac:dyDescent="0.2">
      <c r="A2" s="39" t="s">
        <v>147</v>
      </c>
      <c r="B2" s="40"/>
      <c r="C2" s="40"/>
      <c r="D2" s="40"/>
      <c r="E2" s="40"/>
      <c r="F2" s="40"/>
      <c r="G2" s="40"/>
      <c r="H2" s="40"/>
    </row>
    <row r="4" spans="1:8" ht="25" customHeight="1" x14ac:dyDescent="0.2">
      <c r="A4" s="14" t="s">
        <v>148</v>
      </c>
      <c r="B4" s="15" t="s">
        <v>22</v>
      </c>
      <c r="C4" s="16" t="s">
        <v>149</v>
      </c>
      <c r="D4" s="17" t="s">
        <v>150</v>
      </c>
      <c r="E4" s="18" t="s">
        <v>151</v>
      </c>
      <c r="F4" s="19" t="s">
        <v>152</v>
      </c>
    </row>
    <row r="5" spans="1:8" ht="45" customHeight="1" x14ac:dyDescent="0.2">
      <c r="A5" s="20">
        <v>50</v>
      </c>
      <c r="B5" s="21">
        <f>COUNTIF(Pipeline!I:I,"Not Called")</f>
        <v>45</v>
      </c>
      <c r="C5" s="22">
        <f>COUNTIF(Pipeline!I:I,"Called - Interested")</f>
        <v>0</v>
      </c>
      <c r="D5" s="23">
        <f>COUNTIF(Pipeline!I:I,"Meeting Booked")</f>
        <v>0</v>
      </c>
      <c r="E5" s="24">
        <f>COUNTIF(Pipeline!P:P,"SOLD ✅")</f>
        <v>0</v>
      </c>
      <c r="F5" s="25">
        <f>SUM(Pipeline!O:O)</f>
        <v>0</v>
      </c>
    </row>
    <row r="8" spans="1:8" x14ac:dyDescent="0.2">
      <c r="A8" t="s">
        <v>153</v>
      </c>
      <c r="B8">
        <f>COUNTIF(Pipeline!I:I,"Not Called")</f>
        <v>45</v>
      </c>
      <c r="D8" t="s">
        <v>26</v>
      </c>
      <c r="E8">
        <v>7</v>
      </c>
      <c r="G8" t="s">
        <v>64</v>
      </c>
      <c r="H8">
        <v>32</v>
      </c>
    </row>
    <row r="9" spans="1:8" x14ac:dyDescent="0.2">
      <c r="A9" t="s">
        <v>154</v>
      </c>
      <c r="B9">
        <f>COUNTIF(Pipeline!I:I,"Called - No Answer")</f>
        <v>1</v>
      </c>
      <c r="D9" t="s">
        <v>31</v>
      </c>
      <c r="E9">
        <v>4</v>
      </c>
      <c r="G9" t="s">
        <v>18</v>
      </c>
      <c r="H9">
        <v>15</v>
      </c>
    </row>
    <row r="10" spans="1:8" x14ac:dyDescent="0.2">
      <c r="A10" t="s">
        <v>155</v>
      </c>
      <c r="B10">
        <f>COUNTIF(Pipeline!I:I,"Called - Left Voicemail")</f>
        <v>0</v>
      </c>
      <c r="D10" t="s">
        <v>48</v>
      </c>
      <c r="E10">
        <v>4</v>
      </c>
      <c r="G10" t="s">
        <v>140</v>
      </c>
      <c r="H10">
        <v>3</v>
      </c>
    </row>
    <row r="11" spans="1:8" x14ac:dyDescent="0.2">
      <c r="A11" t="s">
        <v>156</v>
      </c>
      <c r="B11">
        <f>COUNTIF(Pipeline!I:I,"Called - Not Interested")</f>
        <v>2</v>
      </c>
      <c r="D11" t="s">
        <v>54</v>
      </c>
      <c r="E11">
        <v>4</v>
      </c>
    </row>
    <row r="12" spans="1:8" x14ac:dyDescent="0.2">
      <c r="A12" t="s">
        <v>149</v>
      </c>
      <c r="B12">
        <f>COUNTIF(Pipeline!I:I,"Called - Interested")</f>
        <v>0</v>
      </c>
      <c r="D12" t="s">
        <v>45</v>
      </c>
      <c r="E12">
        <v>3</v>
      </c>
    </row>
    <row r="13" spans="1:8" x14ac:dyDescent="0.2">
      <c r="A13" t="s">
        <v>157</v>
      </c>
      <c r="B13">
        <f>COUNTIF(Pipeline!I:I,"Meeting Booked")</f>
        <v>0</v>
      </c>
      <c r="D13" t="s">
        <v>51</v>
      </c>
      <c r="E13">
        <v>3</v>
      </c>
    </row>
    <row r="14" spans="1:8" x14ac:dyDescent="0.2">
      <c r="A14" t="s">
        <v>153</v>
      </c>
      <c r="B14">
        <f>COUNTIF(Pipeline!I:I,"Follow Up Later")</f>
        <v>2</v>
      </c>
      <c r="D14" t="s">
        <v>59</v>
      </c>
      <c r="E14">
        <v>3</v>
      </c>
    </row>
    <row r="15" spans="1:8" x14ac:dyDescent="0.2">
      <c r="D15" t="s">
        <v>65</v>
      </c>
      <c r="E15">
        <v>3</v>
      </c>
    </row>
    <row r="16" spans="1:8" x14ac:dyDescent="0.2">
      <c r="D16" t="s">
        <v>68</v>
      </c>
      <c r="E16">
        <v>3</v>
      </c>
    </row>
    <row r="17" spans="4:5" x14ac:dyDescent="0.2">
      <c r="D17" t="s">
        <v>42</v>
      </c>
      <c r="E17">
        <v>2</v>
      </c>
    </row>
    <row r="18" spans="4:5" x14ac:dyDescent="0.2">
      <c r="D18" t="s">
        <v>126</v>
      </c>
      <c r="E18">
        <v>2</v>
      </c>
    </row>
    <row r="19" spans="4:5" x14ac:dyDescent="0.2">
      <c r="D19" t="s">
        <v>19</v>
      </c>
      <c r="E19">
        <v>1</v>
      </c>
    </row>
    <row r="20" spans="4:5" x14ac:dyDescent="0.2">
      <c r="D20" t="s">
        <v>36</v>
      </c>
      <c r="E20">
        <v>1</v>
      </c>
    </row>
    <row r="21" spans="4:5" x14ac:dyDescent="0.2">
      <c r="D21" t="s">
        <v>39</v>
      </c>
      <c r="E21">
        <v>1</v>
      </c>
    </row>
    <row r="22" spans="4:5" x14ac:dyDescent="0.2">
      <c r="D22" t="s">
        <v>75</v>
      </c>
      <c r="E22">
        <v>1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AF50"/>
  </sheetPr>
  <dimension ref="A1:A51"/>
  <sheetViews>
    <sheetView topLeftCell="A11" zoomScale="125" workbookViewId="0"/>
  </sheetViews>
  <sheetFormatPr baseColWidth="10" defaultColWidth="8.83203125" defaultRowHeight="15" x14ac:dyDescent="0.2"/>
  <cols>
    <col min="1" max="1" width="90" customWidth="1"/>
  </cols>
  <sheetData>
    <row r="1" spans="1:1" ht="35" customHeight="1" x14ac:dyDescent="0.3">
      <c r="A1" s="26" t="s">
        <v>158</v>
      </c>
    </row>
    <row r="3" spans="1:1" ht="17" x14ac:dyDescent="0.2">
      <c r="A3" s="27" t="s">
        <v>159</v>
      </c>
    </row>
    <row r="5" spans="1:1" x14ac:dyDescent="0.2">
      <c r="A5" s="28" t="s">
        <v>160</v>
      </c>
    </row>
    <row r="7" spans="1:1" x14ac:dyDescent="0.2">
      <c r="A7" s="28" t="s">
        <v>161</v>
      </c>
    </row>
    <row r="8" spans="1:1" x14ac:dyDescent="0.2">
      <c r="A8" s="28" t="s">
        <v>162</v>
      </c>
    </row>
    <row r="9" spans="1:1" x14ac:dyDescent="0.2">
      <c r="A9" s="28" t="s">
        <v>163</v>
      </c>
    </row>
    <row r="10" spans="1:1" x14ac:dyDescent="0.2">
      <c r="A10" s="28" t="s">
        <v>164</v>
      </c>
    </row>
    <row r="12" spans="1:1" ht="17" x14ac:dyDescent="0.2">
      <c r="A12" s="27" t="s">
        <v>165</v>
      </c>
    </row>
    <row r="14" spans="1:1" x14ac:dyDescent="0.2">
      <c r="A14" s="28" t="s">
        <v>166</v>
      </c>
    </row>
    <row r="15" spans="1:1" x14ac:dyDescent="0.2">
      <c r="A15" s="28" t="s">
        <v>167</v>
      </c>
    </row>
    <row r="16" spans="1:1" x14ac:dyDescent="0.2">
      <c r="A16" s="28" t="s">
        <v>168</v>
      </c>
    </row>
    <row r="17" spans="1:1" x14ac:dyDescent="0.2">
      <c r="A17" s="28" t="s">
        <v>169</v>
      </c>
    </row>
    <row r="18" spans="1:1" x14ac:dyDescent="0.2">
      <c r="A18" s="28" t="s">
        <v>170</v>
      </c>
    </row>
    <row r="20" spans="1:1" ht="17" x14ac:dyDescent="0.2">
      <c r="A20" s="27" t="s">
        <v>171</v>
      </c>
    </row>
    <row r="22" spans="1:1" x14ac:dyDescent="0.2">
      <c r="A22" s="28" t="s">
        <v>172</v>
      </c>
    </row>
    <row r="23" spans="1:1" x14ac:dyDescent="0.2">
      <c r="A23" s="28" t="s">
        <v>173</v>
      </c>
    </row>
    <row r="24" spans="1:1" x14ac:dyDescent="0.2">
      <c r="A24" s="28" t="s">
        <v>174</v>
      </c>
    </row>
    <row r="26" spans="1:1" ht="17" x14ac:dyDescent="0.2">
      <c r="A26" s="27" t="s">
        <v>175</v>
      </c>
    </row>
    <row r="28" spans="1:1" x14ac:dyDescent="0.2">
      <c r="A28" s="28" t="s">
        <v>176</v>
      </c>
    </row>
    <row r="29" spans="1:1" x14ac:dyDescent="0.2">
      <c r="A29" s="28" t="s">
        <v>177</v>
      </c>
    </row>
    <row r="30" spans="1:1" x14ac:dyDescent="0.2">
      <c r="A30" s="28" t="s">
        <v>178</v>
      </c>
    </row>
    <row r="32" spans="1:1" ht="17" x14ac:dyDescent="0.2">
      <c r="A32" s="27" t="s">
        <v>179</v>
      </c>
    </row>
    <row r="34" spans="1:1" x14ac:dyDescent="0.2">
      <c r="A34" s="29" t="s">
        <v>180</v>
      </c>
    </row>
    <row r="35" spans="1:1" x14ac:dyDescent="0.2">
      <c r="A35" s="30" t="s">
        <v>181</v>
      </c>
    </row>
    <row r="36" spans="1:1" x14ac:dyDescent="0.2">
      <c r="A36" s="30" t="s">
        <v>182</v>
      </c>
    </row>
    <row r="38" spans="1:1" x14ac:dyDescent="0.2">
      <c r="A38" s="29" t="s">
        <v>183</v>
      </c>
    </row>
    <row r="39" spans="1:1" x14ac:dyDescent="0.2">
      <c r="A39" s="30" t="s">
        <v>184</v>
      </c>
    </row>
    <row r="40" spans="1:1" x14ac:dyDescent="0.2">
      <c r="A40" s="30" t="s">
        <v>185</v>
      </c>
    </row>
    <row r="42" spans="1:1" x14ac:dyDescent="0.2">
      <c r="A42" s="29" t="s">
        <v>186</v>
      </c>
    </row>
    <row r="43" spans="1:1" x14ac:dyDescent="0.2">
      <c r="A43" s="30" t="s">
        <v>187</v>
      </c>
    </row>
    <row r="44" spans="1:1" x14ac:dyDescent="0.2">
      <c r="A44" s="30" t="s">
        <v>188</v>
      </c>
    </row>
    <row r="46" spans="1:1" ht="17" x14ac:dyDescent="0.2">
      <c r="A46" s="27" t="s">
        <v>189</v>
      </c>
    </row>
    <row r="48" spans="1:1" x14ac:dyDescent="0.2">
      <c r="A48" s="31" t="s">
        <v>190</v>
      </c>
    </row>
    <row r="49" spans="1:1" x14ac:dyDescent="0.2">
      <c r="A49" s="31" t="s">
        <v>191</v>
      </c>
    </row>
    <row r="50" spans="1:1" x14ac:dyDescent="0.2">
      <c r="A50" s="31" t="s">
        <v>192</v>
      </c>
    </row>
    <row r="51" spans="1:1" x14ac:dyDescent="0.2">
      <c r="A51" s="31" t="s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4336"/>
  </sheetPr>
  <dimension ref="A1:H28"/>
  <sheetViews>
    <sheetView workbookViewId="0"/>
  </sheetViews>
  <sheetFormatPr baseColWidth="10" defaultColWidth="8.83203125" defaultRowHeight="15" x14ac:dyDescent="0.2"/>
  <cols>
    <col min="1" max="1" width="5" customWidth="1"/>
    <col min="2" max="2" width="35" customWidth="1"/>
    <col min="3" max="3" width="16" customWidth="1"/>
    <col min="4" max="4" width="18" customWidth="1"/>
    <col min="5" max="5" width="8" customWidth="1"/>
    <col min="6" max="7" width="10" customWidth="1"/>
    <col min="8" max="8" width="16" customWidth="1"/>
  </cols>
  <sheetData>
    <row r="1" spans="1:8" ht="30" customHeight="1" x14ac:dyDescent="0.25">
      <c r="A1" s="32" t="s">
        <v>194</v>
      </c>
    </row>
    <row r="3" spans="1:8" x14ac:dyDescent="0.2">
      <c r="A3" s="33" t="s">
        <v>0</v>
      </c>
      <c r="B3" s="33" t="s">
        <v>1</v>
      </c>
      <c r="C3" s="33" t="s">
        <v>3</v>
      </c>
      <c r="D3" s="33" t="s">
        <v>2</v>
      </c>
      <c r="E3" s="33" t="s">
        <v>5</v>
      </c>
      <c r="F3" s="33" t="s">
        <v>6</v>
      </c>
      <c r="G3" s="33" t="s">
        <v>195</v>
      </c>
      <c r="H3" s="33" t="s">
        <v>4</v>
      </c>
    </row>
    <row r="4" spans="1:8" ht="16" x14ac:dyDescent="0.2">
      <c r="A4" s="34">
        <v>1</v>
      </c>
      <c r="B4" s="35" t="s">
        <v>35</v>
      </c>
      <c r="C4" s="34" t="s">
        <v>36</v>
      </c>
      <c r="D4" s="34" t="s">
        <v>18</v>
      </c>
      <c r="E4" s="34">
        <v>4.5</v>
      </c>
      <c r="F4" s="34">
        <v>2973</v>
      </c>
      <c r="G4" s="36">
        <v>1337.8</v>
      </c>
      <c r="H4" s="34" t="s">
        <v>37</v>
      </c>
    </row>
    <row r="5" spans="1:8" ht="16" x14ac:dyDescent="0.2">
      <c r="A5" s="7">
        <v>2</v>
      </c>
      <c r="B5" s="8" t="s">
        <v>25</v>
      </c>
      <c r="C5" s="7" t="s">
        <v>26</v>
      </c>
      <c r="D5" s="7" t="s">
        <v>18</v>
      </c>
      <c r="E5" s="7">
        <v>4.0999999999999996</v>
      </c>
      <c r="F5" s="7">
        <v>1670</v>
      </c>
      <c r="G5" s="37">
        <v>684.7</v>
      </c>
      <c r="H5" s="7" t="s">
        <v>27</v>
      </c>
    </row>
    <row r="6" spans="1:8" ht="16" x14ac:dyDescent="0.2">
      <c r="A6" s="34">
        <v>3</v>
      </c>
      <c r="B6" s="35" t="s">
        <v>33</v>
      </c>
      <c r="C6" s="34" t="s">
        <v>31</v>
      </c>
      <c r="D6" s="34" t="s">
        <v>18</v>
      </c>
      <c r="E6" s="34">
        <v>4.5</v>
      </c>
      <c r="F6" s="34">
        <v>1259</v>
      </c>
      <c r="G6" s="36">
        <v>566.5</v>
      </c>
      <c r="H6" s="34" t="s">
        <v>34</v>
      </c>
    </row>
    <row r="7" spans="1:8" ht="16" x14ac:dyDescent="0.2">
      <c r="A7" s="7">
        <v>4</v>
      </c>
      <c r="B7" s="8" t="s">
        <v>41</v>
      </c>
      <c r="C7" s="7" t="s">
        <v>42</v>
      </c>
      <c r="D7" s="7" t="s">
        <v>18</v>
      </c>
      <c r="E7" s="7">
        <v>4</v>
      </c>
      <c r="F7" s="7">
        <v>681</v>
      </c>
      <c r="G7" s="37">
        <v>272.39999999999998</v>
      </c>
      <c r="H7" s="7" t="s">
        <v>43</v>
      </c>
    </row>
    <row r="8" spans="1:8" ht="16" x14ac:dyDescent="0.2">
      <c r="A8" s="34">
        <v>5</v>
      </c>
      <c r="B8" s="35" t="s">
        <v>142</v>
      </c>
      <c r="C8" s="34" t="s">
        <v>65</v>
      </c>
      <c r="D8" s="34" t="s">
        <v>140</v>
      </c>
      <c r="E8" s="38">
        <v>4.8</v>
      </c>
      <c r="F8" s="34">
        <v>499</v>
      </c>
      <c r="G8" s="36">
        <v>239.5</v>
      </c>
      <c r="H8" s="34" t="s">
        <v>143</v>
      </c>
    </row>
    <row r="9" spans="1:8" ht="16" x14ac:dyDescent="0.2">
      <c r="A9" s="7">
        <v>6</v>
      </c>
      <c r="B9" s="8" t="s">
        <v>61</v>
      </c>
      <c r="C9" s="7" t="s">
        <v>59</v>
      </c>
      <c r="D9" s="7" t="s">
        <v>18</v>
      </c>
      <c r="E9" s="12">
        <v>5</v>
      </c>
      <c r="F9" s="7">
        <v>409</v>
      </c>
      <c r="G9" s="37">
        <v>204.5</v>
      </c>
      <c r="H9" s="7" t="s">
        <v>62</v>
      </c>
    </row>
    <row r="10" spans="1:8" ht="16" x14ac:dyDescent="0.2">
      <c r="A10" s="34">
        <v>7</v>
      </c>
      <c r="B10" s="35" t="s">
        <v>28</v>
      </c>
      <c r="C10" s="34" t="s">
        <v>26</v>
      </c>
      <c r="D10" s="34" t="s">
        <v>18</v>
      </c>
      <c r="E10" s="34">
        <v>4.5999999999999996</v>
      </c>
      <c r="F10" s="34">
        <v>367</v>
      </c>
      <c r="G10" s="36">
        <v>168.8</v>
      </c>
      <c r="H10" s="34" t="s">
        <v>29</v>
      </c>
    </row>
    <row r="11" spans="1:8" ht="16" x14ac:dyDescent="0.2">
      <c r="A11" s="7">
        <v>8</v>
      </c>
      <c r="B11" s="8" t="s">
        <v>94</v>
      </c>
      <c r="C11" s="7" t="s">
        <v>95</v>
      </c>
      <c r="D11" s="7" t="s">
        <v>64</v>
      </c>
      <c r="E11" s="7">
        <v>4.7</v>
      </c>
      <c r="F11" s="7">
        <v>344</v>
      </c>
      <c r="G11" s="37">
        <v>161.69999999999999</v>
      </c>
      <c r="H11" s="7" t="s">
        <v>96</v>
      </c>
    </row>
    <row r="12" spans="1:8" ht="16" x14ac:dyDescent="0.2">
      <c r="A12" s="34">
        <v>9</v>
      </c>
      <c r="B12" s="35" t="s">
        <v>139</v>
      </c>
      <c r="C12" s="34" t="s">
        <v>42</v>
      </c>
      <c r="D12" s="34" t="s">
        <v>140</v>
      </c>
      <c r="E12" s="38">
        <v>4.9000000000000004</v>
      </c>
      <c r="F12" s="34">
        <v>298</v>
      </c>
      <c r="G12" s="36">
        <v>146</v>
      </c>
      <c r="H12" s="34" t="s">
        <v>141</v>
      </c>
    </row>
    <row r="13" spans="1:8" ht="16" x14ac:dyDescent="0.2">
      <c r="A13" s="7">
        <v>10</v>
      </c>
      <c r="B13" s="8" t="s">
        <v>50</v>
      </c>
      <c r="C13" s="7" t="s">
        <v>51</v>
      </c>
      <c r="D13" s="7" t="s">
        <v>18</v>
      </c>
      <c r="E13" s="12">
        <v>4.8</v>
      </c>
      <c r="F13" s="7">
        <v>285</v>
      </c>
      <c r="G13" s="37">
        <v>136.80000000000001</v>
      </c>
      <c r="H13" s="7" t="s">
        <v>52</v>
      </c>
    </row>
    <row r="14" spans="1:8" ht="16" x14ac:dyDescent="0.2">
      <c r="A14" s="34">
        <v>11</v>
      </c>
      <c r="B14" s="35" t="s">
        <v>128</v>
      </c>
      <c r="C14" s="34" t="s">
        <v>126</v>
      </c>
      <c r="D14" s="34" t="s">
        <v>64</v>
      </c>
      <c r="E14" s="38">
        <v>4.8</v>
      </c>
      <c r="F14" s="34">
        <v>271</v>
      </c>
      <c r="G14" s="36">
        <v>130.1</v>
      </c>
      <c r="H14" s="34" t="s">
        <v>129</v>
      </c>
    </row>
    <row r="15" spans="1:8" ht="16" x14ac:dyDescent="0.2">
      <c r="A15" s="7">
        <v>12</v>
      </c>
      <c r="B15" s="8" t="s">
        <v>90</v>
      </c>
      <c r="C15" s="7" t="s">
        <v>31</v>
      </c>
      <c r="D15" s="7" t="s">
        <v>64</v>
      </c>
      <c r="E15" s="7">
        <v>4.5999999999999996</v>
      </c>
      <c r="F15" s="7">
        <v>199</v>
      </c>
      <c r="G15" s="37">
        <v>91.5</v>
      </c>
      <c r="H15" s="7" t="s">
        <v>91</v>
      </c>
    </row>
    <row r="16" spans="1:8" ht="16" x14ac:dyDescent="0.2">
      <c r="A16" s="34">
        <v>13</v>
      </c>
      <c r="B16" s="35" t="s">
        <v>106</v>
      </c>
      <c r="C16" s="34" t="s">
        <v>48</v>
      </c>
      <c r="D16" s="34" t="s">
        <v>64</v>
      </c>
      <c r="E16" s="34">
        <v>4.5999999999999996</v>
      </c>
      <c r="F16" s="34">
        <v>176</v>
      </c>
      <c r="G16" s="36">
        <v>81</v>
      </c>
      <c r="H16" s="34" t="s">
        <v>107</v>
      </c>
    </row>
    <row r="17" spans="1:8" ht="16" x14ac:dyDescent="0.2">
      <c r="A17" s="7">
        <v>14</v>
      </c>
      <c r="B17" s="8" t="s">
        <v>56</v>
      </c>
      <c r="C17" s="7" t="s">
        <v>54</v>
      </c>
      <c r="D17" s="7" t="s">
        <v>18</v>
      </c>
      <c r="E17" s="7">
        <v>4.5999999999999996</v>
      </c>
      <c r="F17" s="7">
        <v>167</v>
      </c>
      <c r="G17" s="37">
        <v>76.8</v>
      </c>
      <c r="H17" s="7" t="s">
        <v>57</v>
      </c>
    </row>
    <row r="18" spans="1:8" ht="16" x14ac:dyDescent="0.2">
      <c r="A18" s="34">
        <v>15</v>
      </c>
      <c r="B18" s="35" t="s">
        <v>63</v>
      </c>
      <c r="C18" s="34" t="s">
        <v>65</v>
      </c>
      <c r="D18" s="34" t="s">
        <v>64</v>
      </c>
      <c r="E18" s="38">
        <v>4.9000000000000004</v>
      </c>
      <c r="F18" s="34">
        <v>151</v>
      </c>
      <c r="G18" s="36">
        <v>74</v>
      </c>
      <c r="H18" s="34" t="s">
        <v>66</v>
      </c>
    </row>
    <row r="19" spans="1:8" ht="16" x14ac:dyDescent="0.2">
      <c r="A19" s="7">
        <v>16</v>
      </c>
      <c r="B19" s="8" t="s">
        <v>77</v>
      </c>
      <c r="C19" s="7" t="s">
        <v>78</v>
      </c>
      <c r="D19" s="7" t="s">
        <v>64</v>
      </c>
      <c r="E19" s="7">
        <v>4.7</v>
      </c>
      <c r="F19" s="7">
        <v>152</v>
      </c>
      <c r="G19" s="37">
        <v>71.400000000000006</v>
      </c>
      <c r="H19" s="7" t="s">
        <v>79</v>
      </c>
    </row>
    <row r="20" spans="1:8" ht="16" x14ac:dyDescent="0.2">
      <c r="A20" s="34">
        <v>17</v>
      </c>
      <c r="B20" s="35" t="s">
        <v>122</v>
      </c>
      <c r="C20" s="34" t="s">
        <v>123</v>
      </c>
      <c r="D20" s="34" t="s">
        <v>64</v>
      </c>
      <c r="E20" s="34">
        <v>4.5999999999999996</v>
      </c>
      <c r="F20" s="34">
        <v>146</v>
      </c>
      <c r="G20" s="36">
        <v>67.2</v>
      </c>
      <c r="H20" s="34" t="s">
        <v>124</v>
      </c>
    </row>
    <row r="21" spans="1:8" ht="16" x14ac:dyDescent="0.2">
      <c r="A21" s="7">
        <v>18</v>
      </c>
      <c r="B21" s="8" t="s">
        <v>74</v>
      </c>
      <c r="C21" s="7" t="s">
        <v>75</v>
      </c>
      <c r="D21" s="7" t="s">
        <v>64</v>
      </c>
      <c r="E21" s="7">
        <v>4.4000000000000004</v>
      </c>
      <c r="F21" s="7">
        <v>149</v>
      </c>
      <c r="G21" s="37">
        <v>65.599999999999994</v>
      </c>
      <c r="H21" s="7" t="s">
        <v>76</v>
      </c>
    </row>
    <row r="22" spans="1:8" ht="16" x14ac:dyDescent="0.2">
      <c r="A22" s="34">
        <v>19</v>
      </c>
      <c r="B22" s="35" t="s">
        <v>30</v>
      </c>
      <c r="C22" s="34" t="s">
        <v>31</v>
      </c>
      <c r="D22" s="34" t="s">
        <v>18</v>
      </c>
      <c r="E22" s="38">
        <v>4.9000000000000004</v>
      </c>
      <c r="F22" s="34">
        <v>132</v>
      </c>
      <c r="G22" s="36">
        <v>64.7</v>
      </c>
      <c r="H22" s="34" t="s">
        <v>32</v>
      </c>
    </row>
    <row r="23" spans="1:8" ht="16" x14ac:dyDescent="0.2">
      <c r="A23" s="7">
        <v>20</v>
      </c>
      <c r="B23" s="8" t="s">
        <v>136</v>
      </c>
      <c r="C23" s="7" t="s">
        <v>137</v>
      </c>
      <c r="D23" s="7" t="s">
        <v>64</v>
      </c>
      <c r="E23" s="7">
        <v>4.4000000000000004</v>
      </c>
      <c r="F23" s="7">
        <v>141</v>
      </c>
      <c r="G23" s="37">
        <v>62</v>
      </c>
      <c r="H23" s="7" t="s">
        <v>138</v>
      </c>
    </row>
    <row r="24" spans="1:8" ht="16" x14ac:dyDescent="0.2">
      <c r="A24" s="34">
        <v>21</v>
      </c>
      <c r="B24" s="35" t="s">
        <v>130</v>
      </c>
      <c r="C24" s="34" t="s">
        <v>131</v>
      </c>
      <c r="D24" s="34" t="s">
        <v>64</v>
      </c>
      <c r="E24" s="38">
        <v>4.8</v>
      </c>
      <c r="F24" s="34">
        <v>127</v>
      </c>
      <c r="G24" s="36">
        <v>61</v>
      </c>
      <c r="H24" s="34" t="s">
        <v>132</v>
      </c>
    </row>
    <row r="25" spans="1:8" ht="16" x14ac:dyDescent="0.2">
      <c r="A25" s="7">
        <v>22</v>
      </c>
      <c r="B25" s="8" t="s">
        <v>67</v>
      </c>
      <c r="C25" s="7" t="s">
        <v>68</v>
      </c>
      <c r="D25" s="7" t="s">
        <v>64</v>
      </c>
      <c r="E25" s="12">
        <v>4.8</v>
      </c>
      <c r="F25" s="7">
        <v>124</v>
      </c>
      <c r="G25" s="37">
        <v>59.5</v>
      </c>
      <c r="H25" s="7" t="s">
        <v>69</v>
      </c>
    </row>
    <row r="26" spans="1:8" ht="16" x14ac:dyDescent="0.2">
      <c r="A26" s="34">
        <v>23</v>
      </c>
      <c r="B26" s="35" t="s">
        <v>110</v>
      </c>
      <c r="C26" s="34" t="s">
        <v>48</v>
      </c>
      <c r="D26" s="34" t="s">
        <v>64</v>
      </c>
      <c r="E26" s="34">
        <v>4.7</v>
      </c>
      <c r="F26" s="34">
        <v>116</v>
      </c>
      <c r="G26" s="36">
        <v>54.5</v>
      </c>
      <c r="H26" s="34" t="s">
        <v>111</v>
      </c>
    </row>
    <row r="27" spans="1:8" ht="16" x14ac:dyDescent="0.2">
      <c r="A27" s="7">
        <v>24</v>
      </c>
      <c r="B27" s="8" t="s">
        <v>144</v>
      </c>
      <c r="C27" s="7" t="s">
        <v>65</v>
      </c>
      <c r="D27" s="7" t="s">
        <v>140</v>
      </c>
      <c r="E27" s="12">
        <v>4.9000000000000004</v>
      </c>
      <c r="F27" s="7">
        <v>109</v>
      </c>
      <c r="G27" s="37">
        <v>53.4</v>
      </c>
      <c r="H27" s="7" t="s">
        <v>145</v>
      </c>
    </row>
    <row r="28" spans="1:8" ht="16" x14ac:dyDescent="0.2">
      <c r="A28" s="34">
        <v>25</v>
      </c>
      <c r="B28" s="35" t="s">
        <v>114</v>
      </c>
      <c r="C28" s="34" t="s">
        <v>51</v>
      </c>
      <c r="D28" s="34" t="s">
        <v>64</v>
      </c>
      <c r="E28" s="34">
        <v>4.4000000000000004</v>
      </c>
      <c r="F28" s="34">
        <v>119</v>
      </c>
      <c r="G28" s="36">
        <v>52.4</v>
      </c>
      <c r="H28" s="34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Pipeline</vt:lpstr>
      <vt:lpstr>Dashboard</vt:lpstr>
      <vt:lpstr>Call Script</vt:lpstr>
      <vt:lpstr>🔥 Top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GRAHAM ZALLER</cp:lastModifiedBy>
  <dcterms:created xsi:type="dcterms:W3CDTF">2026-03-23T19:44:32Z</dcterms:created>
  <dcterms:modified xsi:type="dcterms:W3CDTF">2026-03-23T20:59:51Z</dcterms:modified>
</cp:coreProperties>
</file>